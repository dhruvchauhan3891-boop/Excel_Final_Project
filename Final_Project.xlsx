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hruv\Downloads\"/>
    </mc:Choice>
  </mc:AlternateContent>
  <xr:revisionPtr revIDLastSave="0" documentId="13_ncr:1_{2BBBB736-2691-456F-AAE6-B2D47CEE6351}" xr6:coauthVersionLast="47" xr6:coauthVersionMax="47" xr10:uidLastSave="{00000000-0000-0000-0000-000000000000}"/>
  <bookViews>
    <workbookView xWindow="-108" yWindow="-108" windowWidth="23256" windowHeight="12456" firstSheet="6" activeTab="9" xr2:uid="{00000000-000D-0000-FFFF-FFFF00000000}"/>
  </bookViews>
  <sheets>
    <sheet name="Project Instructions" sheetId="1" r:id="rId1"/>
    <sheet name="Sheet1" sheetId="7" r:id="rId2"/>
    <sheet name="Dashboard" sheetId="6" r:id="rId3"/>
    <sheet name="Raw data" sheetId="3" r:id="rId4"/>
    <sheet name="analysis" sheetId="4" r:id="rId5"/>
    <sheet name="Final Project Dataset" sheetId="2" r:id="rId6"/>
    <sheet name="Q1 DATE function" sheetId="8" r:id="rId7"/>
    <sheet name="Q2 filter fuction " sheetId="9" r:id="rId8"/>
    <sheet name="Q3 Conditiona l fornamting" sheetId="10" r:id="rId9"/>
    <sheet name="What if " sheetId="11" r:id="rId10"/>
    <sheet name="liniar reggretion" sheetId="12" r:id="rId11"/>
  </sheets>
  <definedNames>
    <definedName name="_xlnm._FilterDatabase" localSheetId="4" hidden="1">analysis!$B$6:$C$256</definedName>
    <definedName name="Slicer_Category">#N/A</definedName>
    <definedName name="Slicer_Region">#N/A</definedName>
    <definedName name="Slicer_Years__D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3" i="12" l="1"/>
  <c r="H243" i="12"/>
  <c r="L243" i="12" s="1"/>
  <c r="L242" i="12"/>
  <c r="I242" i="12"/>
  <c r="H242" i="12"/>
  <c r="J242" i="12" s="1"/>
  <c r="I241" i="12"/>
  <c r="H241" i="12"/>
  <c r="L241" i="12" s="1"/>
  <c r="I239" i="12"/>
  <c r="H239" i="12"/>
  <c r="L239" i="12" s="1"/>
  <c r="L238" i="12"/>
  <c r="I238" i="12"/>
  <c r="H238" i="12"/>
  <c r="J238" i="12" s="1"/>
  <c r="I237" i="12"/>
  <c r="H237" i="12"/>
  <c r="L237" i="12" s="1"/>
  <c r="I235" i="12"/>
  <c r="H235" i="12"/>
  <c r="L235" i="12" s="1"/>
  <c r="L234" i="12"/>
  <c r="I234" i="12"/>
  <c r="H234" i="12"/>
  <c r="J234" i="12" s="1"/>
  <c r="I233" i="12"/>
  <c r="H233" i="12"/>
  <c r="L233" i="12" s="1"/>
  <c r="I231" i="12"/>
  <c r="H231" i="12"/>
  <c r="L231" i="12" s="1"/>
  <c r="L230" i="12"/>
  <c r="I230" i="12"/>
  <c r="H230" i="12"/>
  <c r="J230" i="12" s="1"/>
  <c r="I229" i="12"/>
  <c r="H229" i="12"/>
  <c r="L229" i="12" s="1"/>
  <c r="I227" i="12"/>
  <c r="H227" i="12"/>
  <c r="L227" i="12" s="1"/>
  <c r="L226" i="12"/>
  <c r="I226" i="12"/>
  <c r="H226" i="12"/>
  <c r="J226" i="12" s="1"/>
  <c r="I225" i="12"/>
  <c r="H225" i="12"/>
  <c r="L225" i="12" s="1"/>
  <c r="I223" i="12"/>
  <c r="H223" i="12"/>
  <c r="L223" i="12" s="1"/>
  <c r="L222" i="12"/>
  <c r="I222" i="12"/>
  <c r="H222" i="12"/>
  <c r="J222" i="12" s="1"/>
  <c r="I221" i="12"/>
  <c r="H221" i="12"/>
  <c r="L221" i="12" s="1"/>
  <c r="I219" i="12"/>
  <c r="H219" i="12"/>
  <c r="L219" i="12" s="1"/>
  <c r="L218" i="12"/>
  <c r="I218" i="12"/>
  <c r="H218" i="12"/>
  <c r="J218" i="12" s="1"/>
  <c r="I217" i="12"/>
  <c r="H217" i="12"/>
  <c r="L217" i="12" s="1"/>
  <c r="I215" i="12"/>
  <c r="H215" i="12"/>
  <c r="L215" i="12" s="1"/>
  <c r="L214" i="12"/>
  <c r="I214" i="12"/>
  <c r="H214" i="12"/>
  <c r="J214" i="12" s="1"/>
  <c r="I213" i="12"/>
  <c r="H213" i="12"/>
  <c r="L213" i="12" s="1"/>
  <c r="I211" i="12"/>
  <c r="H211" i="12"/>
  <c r="L211" i="12" s="1"/>
  <c r="L210" i="12"/>
  <c r="I210" i="12"/>
  <c r="H210" i="12"/>
  <c r="J210" i="12" s="1"/>
  <c r="I209" i="12"/>
  <c r="H209" i="12"/>
  <c r="L209" i="12" s="1"/>
  <c r="I207" i="12"/>
  <c r="H207" i="12"/>
  <c r="L207" i="12" s="1"/>
  <c r="L206" i="12"/>
  <c r="I206" i="12"/>
  <c r="H206" i="12"/>
  <c r="J206" i="12" s="1"/>
  <c r="I205" i="12"/>
  <c r="H205" i="12"/>
  <c r="L205" i="12" s="1"/>
  <c r="I203" i="12"/>
  <c r="H203" i="12"/>
  <c r="L203" i="12" s="1"/>
  <c r="L202" i="12"/>
  <c r="I202" i="12"/>
  <c r="H202" i="12"/>
  <c r="J202" i="12" s="1"/>
  <c r="I201" i="12"/>
  <c r="H201" i="12"/>
  <c r="L201" i="12" s="1"/>
  <c r="I199" i="12"/>
  <c r="H199" i="12"/>
  <c r="L199" i="12" s="1"/>
  <c r="L198" i="12"/>
  <c r="I198" i="12"/>
  <c r="H198" i="12"/>
  <c r="J198" i="12" s="1"/>
  <c r="I197" i="12"/>
  <c r="H197" i="12"/>
  <c r="L197" i="12" s="1"/>
  <c r="I195" i="12"/>
  <c r="H195" i="12"/>
  <c r="L195" i="12" s="1"/>
  <c r="L194" i="12"/>
  <c r="I194" i="12"/>
  <c r="H194" i="12"/>
  <c r="J194" i="12" s="1"/>
  <c r="I193" i="12"/>
  <c r="H193" i="12"/>
  <c r="L193" i="12" s="1"/>
  <c r="I191" i="12"/>
  <c r="H191" i="12"/>
  <c r="L191" i="12" s="1"/>
  <c r="L190" i="12"/>
  <c r="I190" i="12"/>
  <c r="H190" i="12"/>
  <c r="J190" i="12" s="1"/>
  <c r="I189" i="12"/>
  <c r="H189" i="12"/>
  <c r="L189" i="12" s="1"/>
  <c r="I187" i="12"/>
  <c r="H187" i="12"/>
  <c r="L187" i="12" s="1"/>
  <c r="L186" i="12"/>
  <c r="I186" i="12"/>
  <c r="H186" i="12"/>
  <c r="J186" i="12" s="1"/>
  <c r="I185" i="12"/>
  <c r="H185" i="12"/>
  <c r="L185" i="12" s="1"/>
  <c r="I183" i="12"/>
  <c r="H183" i="12"/>
  <c r="L183" i="12" s="1"/>
  <c r="L182" i="12"/>
  <c r="I182" i="12"/>
  <c r="H182" i="12"/>
  <c r="J182" i="12" s="1"/>
  <c r="I181" i="12"/>
  <c r="H181" i="12"/>
  <c r="L181" i="12" s="1"/>
  <c r="I179" i="12"/>
  <c r="H179" i="12"/>
  <c r="L179" i="12" s="1"/>
  <c r="L178" i="12"/>
  <c r="I178" i="12"/>
  <c r="H178" i="12"/>
  <c r="J178" i="12" s="1"/>
  <c r="I177" i="12"/>
  <c r="H177" i="12"/>
  <c r="L177" i="12" s="1"/>
  <c r="I175" i="12"/>
  <c r="H175" i="12"/>
  <c r="L175" i="12" s="1"/>
  <c r="L174" i="12"/>
  <c r="I174" i="12"/>
  <c r="H174" i="12"/>
  <c r="J174" i="12" s="1"/>
  <c r="I173" i="12"/>
  <c r="H173" i="12"/>
  <c r="L173" i="12" s="1"/>
  <c r="I171" i="12"/>
  <c r="H171" i="12"/>
  <c r="L171" i="12" s="1"/>
  <c r="L170" i="12"/>
  <c r="I170" i="12"/>
  <c r="H170" i="12"/>
  <c r="J170" i="12" s="1"/>
  <c r="I169" i="12"/>
  <c r="H169" i="12"/>
  <c r="L169" i="12" s="1"/>
  <c r="I167" i="12"/>
  <c r="H167" i="12"/>
  <c r="L167" i="12" s="1"/>
  <c r="L166" i="12"/>
  <c r="I166" i="12"/>
  <c r="H166" i="12"/>
  <c r="J166" i="12" s="1"/>
  <c r="I165" i="12"/>
  <c r="H165" i="12"/>
  <c r="L165" i="12" s="1"/>
  <c r="I163" i="12"/>
  <c r="H163" i="12"/>
  <c r="L163" i="12" s="1"/>
  <c r="L162" i="12"/>
  <c r="I162" i="12"/>
  <c r="H162" i="12"/>
  <c r="J162" i="12" s="1"/>
  <c r="I161" i="12"/>
  <c r="H161" i="12"/>
  <c r="L161" i="12" s="1"/>
  <c r="I159" i="12"/>
  <c r="H159" i="12"/>
  <c r="L159" i="12" s="1"/>
  <c r="L158" i="12"/>
  <c r="I158" i="12"/>
  <c r="H158" i="12"/>
  <c r="J158" i="12" s="1"/>
  <c r="I157" i="12"/>
  <c r="H157" i="12"/>
  <c r="L157" i="12" s="1"/>
  <c r="I155" i="12"/>
  <c r="H155" i="12"/>
  <c r="L155" i="12" s="1"/>
  <c r="L154" i="12"/>
  <c r="I154" i="12"/>
  <c r="H154" i="12"/>
  <c r="J154" i="12" s="1"/>
  <c r="I153" i="12"/>
  <c r="H153" i="12"/>
  <c r="L153" i="12" s="1"/>
  <c r="I151" i="12"/>
  <c r="H151" i="12"/>
  <c r="L151" i="12" s="1"/>
  <c r="L150" i="12"/>
  <c r="I150" i="12"/>
  <c r="H150" i="12"/>
  <c r="J150" i="12" s="1"/>
  <c r="I149" i="12"/>
  <c r="H149" i="12"/>
  <c r="L149" i="12" s="1"/>
  <c r="I147" i="12"/>
  <c r="H147" i="12"/>
  <c r="L147" i="12" s="1"/>
  <c r="L146" i="12"/>
  <c r="I146" i="12"/>
  <c r="H146" i="12"/>
  <c r="J146" i="12" s="1"/>
  <c r="I145" i="12"/>
  <c r="H145" i="12"/>
  <c r="L145" i="12" s="1"/>
  <c r="I143" i="12"/>
  <c r="H143" i="12"/>
  <c r="L143" i="12" s="1"/>
  <c r="L142" i="12"/>
  <c r="I142" i="12"/>
  <c r="H142" i="12"/>
  <c r="J142" i="12" s="1"/>
  <c r="I141" i="12"/>
  <c r="H141" i="12"/>
  <c r="L141" i="12" s="1"/>
  <c r="I139" i="12"/>
  <c r="H139" i="12"/>
  <c r="L139" i="12" s="1"/>
  <c r="L138" i="12"/>
  <c r="I138" i="12"/>
  <c r="H138" i="12"/>
  <c r="J138" i="12" s="1"/>
  <c r="I137" i="12"/>
  <c r="H137" i="12"/>
  <c r="L137" i="12" s="1"/>
  <c r="I135" i="12"/>
  <c r="H135" i="12"/>
  <c r="L135" i="12" s="1"/>
  <c r="L134" i="12"/>
  <c r="I134" i="12"/>
  <c r="H134" i="12"/>
  <c r="J134" i="12" s="1"/>
  <c r="I133" i="12"/>
  <c r="H133" i="12"/>
  <c r="L133" i="12" s="1"/>
  <c r="I131" i="12"/>
  <c r="H131" i="12"/>
  <c r="L131" i="12" s="1"/>
  <c r="L130" i="12"/>
  <c r="I130" i="12"/>
  <c r="H130" i="12"/>
  <c r="J130" i="12" s="1"/>
  <c r="I129" i="12"/>
  <c r="H129" i="12"/>
  <c r="L129" i="12" s="1"/>
  <c r="I127" i="12"/>
  <c r="H127" i="12"/>
  <c r="L127" i="12" s="1"/>
  <c r="L126" i="12"/>
  <c r="I126" i="12"/>
  <c r="H126" i="12"/>
  <c r="J126" i="12" s="1"/>
  <c r="I125" i="12"/>
  <c r="H125" i="12"/>
  <c r="L125" i="12" s="1"/>
  <c r="I123" i="12"/>
  <c r="H123" i="12"/>
  <c r="L123" i="12" s="1"/>
  <c r="L122" i="12"/>
  <c r="I122" i="12"/>
  <c r="H122" i="12"/>
  <c r="J122" i="12" s="1"/>
  <c r="I121" i="12"/>
  <c r="H121" i="12"/>
  <c r="L121" i="12" s="1"/>
  <c r="I119" i="12"/>
  <c r="H119" i="12"/>
  <c r="L119" i="12" s="1"/>
  <c r="L118" i="12"/>
  <c r="I118" i="12"/>
  <c r="H118" i="12"/>
  <c r="J118" i="12" s="1"/>
  <c r="I117" i="12"/>
  <c r="H117" i="12"/>
  <c r="L117" i="12" s="1"/>
  <c r="I115" i="12"/>
  <c r="H115" i="12"/>
  <c r="L115" i="12" s="1"/>
  <c r="L114" i="12"/>
  <c r="I114" i="12"/>
  <c r="H114" i="12"/>
  <c r="J114" i="12" s="1"/>
  <c r="I113" i="12"/>
  <c r="H113" i="12"/>
  <c r="L113" i="12" s="1"/>
  <c r="I111" i="12"/>
  <c r="H111" i="12"/>
  <c r="L111" i="12" s="1"/>
  <c r="L110" i="12"/>
  <c r="I110" i="12"/>
  <c r="H110" i="12"/>
  <c r="J110" i="12" s="1"/>
  <c r="I109" i="12"/>
  <c r="H109" i="12"/>
  <c r="L109" i="12" s="1"/>
  <c r="I107" i="12"/>
  <c r="H107" i="12"/>
  <c r="L107" i="12" s="1"/>
  <c r="L106" i="12"/>
  <c r="I106" i="12"/>
  <c r="H106" i="12"/>
  <c r="J106" i="12" s="1"/>
  <c r="I105" i="12"/>
  <c r="H105" i="12"/>
  <c r="L105" i="12" s="1"/>
  <c r="I103" i="12"/>
  <c r="H103" i="12"/>
  <c r="L103" i="12" s="1"/>
  <c r="L102" i="12"/>
  <c r="I102" i="12"/>
  <c r="H102" i="12"/>
  <c r="J102" i="12" s="1"/>
  <c r="I101" i="12"/>
  <c r="H101" i="12"/>
  <c r="L101" i="12" s="1"/>
  <c r="I99" i="12"/>
  <c r="H99" i="12"/>
  <c r="L99" i="12" s="1"/>
  <c r="L98" i="12"/>
  <c r="I98" i="12"/>
  <c r="H98" i="12"/>
  <c r="J98" i="12" s="1"/>
  <c r="I97" i="12"/>
  <c r="H97" i="12"/>
  <c r="L97" i="12" s="1"/>
  <c r="I95" i="12"/>
  <c r="H95" i="12"/>
  <c r="L95" i="12" s="1"/>
  <c r="L94" i="12"/>
  <c r="I94" i="12"/>
  <c r="H94" i="12"/>
  <c r="J94" i="12" s="1"/>
  <c r="I93" i="12"/>
  <c r="H93" i="12"/>
  <c r="L93" i="12" s="1"/>
  <c r="I91" i="12"/>
  <c r="H91" i="12"/>
  <c r="L91" i="12" s="1"/>
  <c r="L90" i="12"/>
  <c r="I90" i="12"/>
  <c r="H90" i="12"/>
  <c r="J90" i="12" s="1"/>
  <c r="I89" i="12"/>
  <c r="H89" i="12"/>
  <c r="L89" i="12" s="1"/>
  <c r="I87" i="12"/>
  <c r="H87" i="12"/>
  <c r="L87" i="12" s="1"/>
  <c r="L86" i="12"/>
  <c r="I86" i="12"/>
  <c r="H86" i="12"/>
  <c r="J86" i="12" s="1"/>
  <c r="I85" i="12"/>
  <c r="H85" i="12"/>
  <c r="L85" i="12" s="1"/>
  <c r="I83" i="12"/>
  <c r="H83" i="12"/>
  <c r="L83" i="12" s="1"/>
  <c r="L82" i="12"/>
  <c r="I82" i="12"/>
  <c r="H82" i="12"/>
  <c r="J82" i="12" s="1"/>
  <c r="I81" i="12"/>
  <c r="H81" i="12"/>
  <c r="L81" i="12" s="1"/>
  <c r="I79" i="12"/>
  <c r="H79" i="12"/>
  <c r="L79" i="12" s="1"/>
  <c r="L78" i="12"/>
  <c r="I78" i="12"/>
  <c r="H78" i="12"/>
  <c r="J78" i="12" s="1"/>
  <c r="I77" i="12"/>
  <c r="H77" i="12"/>
  <c r="L77" i="12" s="1"/>
  <c r="I75" i="12"/>
  <c r="H75" i="12"/>
  <c r="L75" i="12" s="1"/>
  <c r="L74" i="12"/>
  <c r="I74" i="12"/>
  <c r="H74" i="12"/>
  <c r="J74" i="12" s="1"/>
  <c r="I73" i="12"/>
  <c r="H73" i="12"/>
  <c r="L73" i="12" s="1"/>
  <c r="I71" i="12"/>
  <c r="H71" i="12"/>
  <c r="L71" i="12" s="1"/>
  <c r="L70" i="12"/>
  <c r="I70" i="12"/>
  <c r="H70" i="12"/>
  <c r="J70" i="12" s="1"/>
  <c r="I69" i="12"/>
  <c r="H69" i="12"/>
  <c r="L69" i="12" s="1"/>
  <c r="I67" i="12"/>
  <c r="H67" i="12"/>
  <c r="L67" i="12" s="1"/>
  <c r="L66" i="12"/>
  <c r="I66" i="12"/>
  <c r="H66" i="12"/>
  <c r="J66" i="12" s="1"/>
  <c r="I65" i="12"/>
  <c r="H65" i="12"/>
  <c r="L65" i="12" s="1"/>
  <c r="I63" i="12"/>
  <c r="H63" i="12"/>
  <c r="L63" i="12" s="1"/>
  <c r="L62" i="12"/>
  <c r="I62" i="12"/>
  <c r="H62" i="12"/>
  <c r="J62" i="12" s="1"/>
  <c r="I61" i="12"/>
  <c r="H61" i="12"/>
  <c r="L61" i="12" s="1"/>
  <c r="I59" i="12"/>
  <c r="H59" i="12"/>
  <c r="L59" i="12" s="1"/>
  <c r="L58" i="12"/>
  <c r="I58" i="12"/>
  <c r="H58" i="12"/>
  <c r="J58" i="12" s="1"/>
  <c r="I57" i="12"/>
  <c r="H57" i="12"/>
  <c r="L57" i="12" s="1"/>
  <c r="I55" i="12"/>
  <c r="H55" i="12"/>
  <c r="L55" i="12" s="1"/>
  <c r="L54" i="12"/>
  <c r="I54" i="12"/>
  <c r="H54" i="12"/>
  <c r="J54" i="12" s="1"/>
  <c r="I53" i="12"/>
  <c r="H53" i="12"/>
  <c r="L53" i="12" s="1"/>
  <c r="I51" i="12"/>
  <c r="H51" i="12"/>
  <c r="L51" i="12" s="1"/>
  <c r="L50" i="12"/>
  <c r="I50" i="12"/>
  <c r="H50" i="12"/>
  <c r="J50" i="12" s="1"/>
  <c r="I49" i="12"/>
  <c r="H49" i="12"/>
  <c r="L49" i="12" s="1"/>
  <c r="I47" i="12"/>
  <c r="H47" i="12"/>
  <c r="L47" i="12" s="1"/>
  <c r="L46" i="12"/>
  <c r="I46" i="12"/>
  <c r="H46" i="12"/>
  <c r="J46" i="12" s="1"/>
  <c r="I45" i="12"/>
  <c r="H45" i="12"/>
  <c r="L45" i="12" s="1"/>
  <c r="I43" i="12"/>
  <c r="H43" i="12"/>
  <c r="L43" i="12" s="1"/>
  <c r="L42" i="12"/>
  <c r="I42" i="12"/>
  <c r="H42" i="12"/>
  <c r="J42" i="12" s="1"/>
  <c r="I41" i="12"/>
  <c r="H41" i="12"/>
  <c r="L41" i="12" s="1"/>
  <c r="I39" i="12"/>
  <c r="H39" i="12"/>
  <c r="L39" i="12" s="1"/>
  <c r="L38" i="12"/>
  <c r="I38" i="12"/>
  <c r="H38" i="12"/>
  <c r="J38" i="12" s="1"/>
  <c r="I37" i="12"/>
  <c r="H37" i="12"/>
  <c r="L37" i="12" s="1"/>
  <c r="I35" i="12"/>
  <c r="H35" i="12"/>
  <c r="L35" i="12" s="1"/>
  <c r="L34" i="12"/>
  <c r="I34" i="12"/>
  <c r="H34" i="12"/>
  <c r="J34" i="12" s="1"/>
  <c r="I33" i="12"/>
  <c r="H33" i="12"/>
  <c r="L33" i="12" s="1"/>
  <c r="I31" i="12"/>
  <c r="H31" i="12"/>
  <c r="L31" i="12" s="1"/>
  <c r="L30" i="12"/>
  <c r="I30" i="12"/>
  <c r="H30" i="12"/>
  <c r="J30" i="12" s="1"/>
  <c r="I29" i="12"/>
  <c r="H29" i="12"/>
  <c r="L29" i="12" s="1"/>
  <c r="I27" i="12"/>
  <c r="H27" i="12"/>
  <c r="L27" i="12" s="1"/>
  <c r="L26" i="12"/>
  <c r="I26" i="12"/>
  <c r="H26" i="12"/>
  <c r="J26" i="12" s="1"/>
  <c r="I25" i="12"/>
  <c r="H25" i="12"/>
  <c r="L25" i="12" s="1"/>
  <c r="I23" i="12"/>
  <c r="H23" i="12"/>
  <c r="L23" i="12" s="1"/>
  <c r="L22" i="12"/>
  <c r="I22" i="12"/>
  <c r="H22" i="12"/>
  <c r="J22" i="12" s="1"/>
  <c r="I21" i="12"/>
  <c r="H21" i="12"/>
  <c r="L21" i="12" s="1"/>
  <c r="I19" i="12"/>
  <c r="H19" i="12"/>
  <c r="L19" i="12" s="1"/>
  <c r="L18" i="12"/>
  <c r="I18" i="12"/>
  <c r="H18" i="12"/>
  <c r="J18" i="12" s="1"/>
  <c r="I17" i="12"/>
  <c r="H17" i="12"/>
  <c r="L17" i="12" s="1"/>
  <c r="I15" i="12"/>
  <c r="H15" i="12"/>
  <c r="L15" i="12" s="1"/>
  <c r="L14" i="12"/>
  <c r="I14" i="12"/>
  <c r="H14" i="12"/>
  <c r="J14" i="12" s="1"/>
  <c r="I13" i="12"/>
  <c r="H13" i="12"/>
  <c r="L13" i="12" s="1"/>
  <c r="I11" i="12"/>
  <c r="H11" i="12"/>
  <c r="L11" i="12" s="1"/>
  <c r="L10" i="12"/>
  <c r="J10" i="12"/>
  <c r="I10" i="12"/>
  <c r="H10" i="12"/>
  <c r="I8" i="12"/>
  <c r="H8" i="12"/>
  <c r="J8" i="12" s="1"/>
  <c r="L7" i="12"/>
  <c r="H7" i="12"/>
  <c r="J7" i="12" s="1"/>
  <c r="H6" i="12"/>
  <c r="L6" i="12" s="1"/>
  <c r="I5" i="12"/>
  <c r="H5" i="12"/>
  <c r="L5" i="12" s="1"/>
  <c r="I4" i="12"/>
  <c r="H4" i="12"/>
  <c r="J4" i="12" s="1"/>
  <c r="H3" i="12"/>
  <c r="I2" i="12"/>
  <c r="H2" i="12"/>
  <c r="L2" i="12" s="1"/>
  <c r="G2" i="12"/>
  <c r="I7" i="12" s="1"/>
  <c r="F2" i="12"/>
  <c r="H9" i="12" s="1"/>
  <c r="M11" i="11"/>
  <c r="M10" i="11"/>
  <c r="C10" i="11"/>
  <c r="M9" i="11"/>
  <c r="C9" i="11"/>
  <c r="M8" i="11"/>
  <c r="C8" i="11"/>
  <c r="M7" i="11"/>
  <c r="C7" i="11"/>
  <c r="M6" i="11"/>
  <c r="C6" i="11"/>
  <c r="M5" i="11"/>
  <c r="C5" i="11"/>
  <c r="M4" i="11"/>
  <c r="C4" i="11"/>
  <c r="M3" i="11"/>
  <c r="C3" i="11"/>
  <c r="C2" i="11"/>
  <c r="D2" i="11" s="1"/>
  <c r="A2" i="9" a="1"/>
  <c r="A2" i="9" s="1"/>
  <c r="L9" i="12" l="1"/>
  <c r="I3" i="12"/>
  <c r="J3" i="12" s="1"/>
  <c r="L8" i="12"/>
  <c r="J11" i="12"/>
  <c r="J15" i="12"/>
  <c r="J19" i="12"/>
  <c r="J23" i="12"/>
  <c r="J27" i="12"/>
  <c r="J31" i="12"/>
  <c r="J35" i="12"/>
  <c r="J39" i="12"/>
  <c r="J43" i="12"/>
  <c r="J47" i="12"/>
  <c r="J51" i="12"/>
  <c r="J55" i="12"/>
  <c r="J59" i="12"/>
  <c r="J63" i="12"/>
  <c r="J67" i="12"/>
  <c r="J71" i="12"/>
  <c r="J75" i="12"/>
  <c r="J79" i="12"/>
  <c r="J83" i="12"/>
  <c r="J87" i="12"/>
  <c r="J91" i="12"/>
  <c r="J95" i="12"/>
  <c r="J99" i="12"/>
  <c r="J103" i="12"/>
  <c r="J107" i="12"/>
  <c r="J111" i="12"/>
  <c r="J115" i="12"/>
  <c r="J119" i="12"/>
  <c r="J123" i="12"/>
  <c r="J127" i="12"/>
  <c r="J131" i="12"/>
  <c r="J135" i="12"/>
  <c r="J139" i="12"/>
  <c r="J143" i="12"/>
  <c r="J147" i="12"/>
  <c r="J151" i="12"/>
  <c r="J155" i="12"/>
  <c r="J159" i="12"/>
  <c r="J163" i="12"/>
  <c r="J167" i="12"/>
  <c r="J171" i="12"/>
  <c r="J175" i="12"/>
  <c r="J179" i="12"/>
  <c r="J183" i="12"/>
  <c r="J187" i="12"/>
  <c r="J191" i="12"/>
  <c r="J195" i="12"/>
  <c r="J199" i="12"/>
  <c r="J203" i="12"/>
  <c r="J207" i="12"/>
  <c r="J211" i="12"/>
  <c r="J215" i="12"/>
  <c r="J219" i="12"/>
  <c r="J223" i="12"/>
  <c r="J227" i="12"/>
  <c r="J231" i="12"/>
  <c r="J235" i="12"/>
  <c r="J239" i="12"/>
  <c r="J243" i="12"/>
  <c r="J5" i="12"/>
  <c r="L3" i="12"/>
  <c r="I6" i="12"/>
  <c r="H12" i="12"/>
  <c r="H16" i="12"/>
  <c r="H20" i="12"/>
  <c r="H24" i="12"/>
  <c r="H28" i="12"/>
  <c r="H32" i="12"/>
  <c r="H36" i="12"/>
  <c r="H40" i="12"/>
  <c r="H44" i="12"/>
  <c r="H48" i="12"/>
  <c r="H52" i="12"/>
  <c r="H56" i="12"/>
  <c r="H60" i="12"/>
  <c r="H64" i="12"/>
  <c r="H68" i="12"/>
  <c r="H72" i="12"/>
  <c r="H76" i="12"/>
  <c r="H80" i="12"/>
  <c r="H84" i="12"/>
  <c r="H88" i="12"/>
  <c r="H92" i="12"/>
  <c r="H96" i="12"/>
  <c r="H100" i="12"/>
  <c r="H104" i="12"/>
  <c r="H108" i="12"/>
  <c r="H112" i="12"/>
  <c r="H116" i="12"/>
  <c r="H120" i="12"/>
  <c r="H124" i="12"/>
  <c r="H128" i="12"/>
  <c r="H132" i="12"/>
  <c r="H136" i="12"/>
  <c r="H140" i="12"/>
  <c r="H144" i="12"/>
  <c r="H148" i="12"/>
  <c r="H152" i="12"/>
  <c r="H156" i="12"/>
  <c r="H160" i="12"/>
  <c r="H164" i="12"/>
  <c r="H168" i="12"/>
  <c r="H172" i="12"/>
  <c r="H176" i="12"/>
  <c r="H180" i="12"/>
  <c r="H184" i="12"/>
  <c r="H188" i="12"/>
  <c r="H192" i="12"/>
  <c r="H196" i="12"/>
  <c r="H200" i="12"/>
  <c r="H204" i="12"/>
  <c r="H208" i="12"/>
  <c r="H212" i="12"/>
  <c r="H216" i="12"/>
  <c r="H220" i="12"/>
  <c r="H224" i="12"/>
  <c r="H228" i="12"/>
  <c r="H232" i="12"/>
  <c r="H236" i="12"/>
  <c r="H240" i="12"/>
  <c r="J6" i="12"/>
  <c r="I12" i="12"/>
  <c r="I16" i="12"/>
  <c r="I20" i="12"/>
  <c r="I24" i="12"/>
  <c r="I28" i="12"/>
  <c r="I32" i="12"/>
  <c r="I36" i="12"/>
  <c r="I40" i="12"/>
  <c r="I44" i="12"/>
  <c r="I48" i="12"/>
  <c r="I52" i="12"/>
  <c r="I56" i="12"/>
  <c r="I60" i="12"/>
  <c r="I64" i="12"/>
  <c r="I68" i="12"/>
  <c r="I72" i="12"/>
  <c r="I76" i="12"/>
  <c r="I80" i="12"/>
  <c r="I84" i="12"/>
  <c r="I88" i="12"/>
  <c r="I92" i="12"/>
  <c r="I96" i="12"/>
  <c r="I100" i="12"/>
  <c r="I104" i="12"/>
  <c r="I108" i="12"/>
  <c r="I112" i="12"/>
  <c r="I116" i="12"/>
  <c r="I120" i="12"/>
  <c r="I124" i="12"/>
  <c r="I128" i="12"/>
  <c r="I132" i="12"/>
  <c r="I136" i="12"/>
  <c r="I140" i="12"/>
  <c r="I144" i="12"/>
  <c r="I148" i="12"/>
  <c r="I152" i="12"/>
  <c r="I156" i="12"/>
  <c r="I160" i="12"/>
  <c r="I164" i="12"/>
  <c r="I168" i="12"/>
  <c r="I172" i="12"/>
  <c r="I176" i="12"/>
  <c r="I180" i="12"/>
  <c r="I184" i="12"/>
  <c r="I188" i="12"/>
  <c r="I192" i="12"/>
  <c r="I196" i="12"/>
  <c r="I200" i="12"/>
  <c r="I204" i="12"/>
  <c r="I208" i="12"/>
  <c r="I212" i="12"/>
  <c r="I216" i="12"/>
  <c r="I220" i="12"/>
  <c r="I224" i="12"/>
  <c r="I228" i="12"/>
  <c r="I232" i="12"/>
  <c r="I236" i="12"/>
  <c r="I240" i="12"/>
  <c r="I9" i="12"/>
  <c r="J9" i="12" s="1"/>
  <c r="J2" i="12"/>
  <c r="L4" i="12"/>
  <c r="J13" i="12"/>
  <c r="J17" i="12"/>
  <c r="J21" i="12"/>
  <c r="J25" i="12"/>
  <c r="J29" i="12"/>
  <c r="J33" i="12"/>
  <c r="J37" i="12"/>
  <c r="J41" i="12"/>
  <c r="J45" i="12"/>
  <c r="J49" i="12"/>
  <c r="J53" i="12"/>
  <c r="J57" i="12"/>
  <c r="J61" i="12"/>
  <c r="J65" i="12"/>
  <c r="J69" i="12"/>
  <c r="J73" i="12"/>
  <c r="J77" i="12"/>
  <c r="J81" i="12"/>
  <c r="J85" i="12"/>
  <c r="J89" i="12"/>
  <c r="J93" i="12"/>
  <c r="J97" i="12"/>
  <c r="J101" i="12"/>
  <c r="J105" i="12"/>
  <c r="J109" i="12"/>
  <c r="J113" i="12"/>
  <c r="J117" i="12"/>
  <c r="J121" i="12"/>
  <c r="J125" i="12"/>
  <c r="J129" i="12"/>
  <c r="J133" i="12"/>
  <c r="J137" i="12"/>
  <c r="J141" i="12"/>
  <c r="J145" i="12"/>
  <c r="J149" i="12"/>
  <c r="J153" i="12"/>
  <c r="J157" i="12"/>
  <c r="J161" i="12"/>
  <c r="J165" i="12"/>
  <c r="J169" i="12"/>
  <c r="J173" i="12"/>
  <c r="J177" i="12"/>
  <c r="J181" i="12"/>
  <c r="J185" i="12"/>
  <c r="J189" i="12"/>
  <c r="J193" i="12"/>
  <c r="J197" i="12"/>
  <c r="J201" i="12"/>
  <c r="J205" i="12"/>
  <c r="J209" i="12"/>
  <c r="J213" i="12"/>
  <c r="J217" i="12"/>
  <c r="J221" i="12"/>
  <c r="J225" i="12"/>
  <c r="J229" i="12"/>
  <c r="J233" i="12"/>
  <c r="J237" i="12"/>
  <c r="J241" i="12"/>
  <c r="M2" i="12" l="1"/>
  <c r="L188" i="12"/>
  <c r="J188" i="12"/>
  <c r="L184" i="12"/>
  <c r="J184" i="12"/>
  <c r="L120" i="12"/>
  <c r="J120" i="12"/>
  <c r="L56" i="12"/>
  <c r="J56" i="12"/>
  <c r="L176" i="12"/>
  <c r="J176" i="12"/>
  <c r="L236" i="12"/>
  <c r="J236" i="12"/>
  <c r="L232" i="12"/>
  <c r="J232" i="12"/>
  <c r="L40" i="12"/>
  <c r="J40" i="12"/>
  <c r="K2" i="12" s="1"/>
  <c r="N2" i="12" s="1"/>
  <c r="L228" i="12"/>
  <c r="J228" i="12"/>
  <c r="L36" i="12"/>
  <c r="J36" i="12"/>
  <c r="L180" i="12"/>
  <c r="J180" i="12"/>
  <c r="L240" i="12"/>
  <c r="J240" i="12"/>
  <c r="L48" i="12"/>
  <c r="J48" i="12"/>
  <c r="L108" i="12"/>
  <c r="J108" i="12"/>
  <c r="L164" i="12"/>
  <c r="J164" i="12"/>
  <c r="L100" i="12"/>
  <c r="J100" i="12"/>
  <c r="L224" i="12"/>
  <c r="J224" i="12"/>
  <c r="L160" i="12"/>
  <c r="J160" i="12"/>
  <c r="L96" i="12"/>
  <c r="J96" i="12"/>
  <c r="L32" i="12"/>
  <c r="J32" i="12"/>
  <c r="L124" i="12"/>
  <c r="J124" i="12"/>
  <c r="L44" i="12"/>
  <c r="J44" i="12"/>
  <c r="L220" i="12"/>
  <c r="J220" i="12"/>
  <c r="L156" i="12"/>
  <c r="J156" i="12"/>
  <c r="L92" i="12"/>
  <c r="J92" i="12"/>
  <c r="L28" i="12"/>
  <c r="J28" i="12"/>
  <c r="L60" i="12"/>
  <c r="J60" i="12"/>
  <c r="L52" i="12"/>
  <c r="J52" i="12"/>
  <c r="L168" i="12"/>
  <c r="J168" i="12"/>
  <c r="L216" i="12"/>
  <c r="J216" i="12"/>
  <c r="L212" i="12"/>
  <c r="J212" i="12"/>
  <c r="L148" i="12"/>
  <c r="J148" i="12"/>
  <c r="L84" i="12"/>
  <c r="J84" i="12"/>
  <c r="J20" i="12"/>
  <c r="L20" i="12"/>
  <c r="L116" i="12"/>
  <c r="J116" i="12"/>
  <c r="L112" i="12"/>
  <c r="J112" i="12"/>
  <c r="L172" i="12"/>
  <c r="J172" i="12"/>
  <c r="L104" i="12"/>
  <c r="J104" i="12"/>
  <c r="L152" i="12"/>
  <c r="J152" i="12"/>
  <c r="L88" i="12"/>
  <c r="J88" i="12"/>
  <c r="L24" i="12"/>
  <c r="J24" i="12"/>
  <c r="L208" i="12"/>
  <c r="J208" i="12"/>
  <c r="L144" i="12"/>
  <c r="J144" i="12"/>
  <c r="L80" i="12"/>
  <c r="J80" i="12"/>
  <c r="L16" i="12"/>
  <c r="J16" i="12"/>
  <c r="L204" i="12"/>
  <c r="J204" i="12"/>
  <c r="L140" i="12"/>
  <c r="J140" i="12"/>
  <c r="L76" i="12"/>
  <c r="J76" i="12"/>
  <c r="L12" i="12"/>
  <c r="J12" i="12"/>
  <c r="L200" i="12"/>
  <c r="J200" i="12"/>
  <c r="L136" i="12"/>
  <c r="J136" i="12"/>
  <c r="L72" i="12"/>
  <c r="J72" i="12"/>
  <c r="L196" i="12"/>
  <c r="J196" i="12"/>
  <c r="L132" i="12"/>
  <c r="J132" i="12"/>
  <c r="L68" i="12"/>
  <c r="J68" i="12"/>
  <c r="L192" i="12"/>
  <c r="J192" i="12"/>
  <c r="L128" i="12"/>
  <c r="J128" i="12"/>
  <c r="L64" i="12"/>
  <c r="J64" i="12"/>
  <c r="D248" i="12" l="1"/>
  <c r="P6" i="12" s="1"/>
  <c r="Q6" i="12" s="1"/>
  <c r="D247" i="12"/>
  <c r="P5" i="12" s="1"/>
  <c r="Q5" i="12" s="1"/>
  <c r="D246" i="12"/>
  <c r="P4" i="12" s="1"/>
  <c r="Q4" i="12" s="1"/>
  <c r="O2" i="12"/>
  <c r="D251" i="12" s="1"/>
  <c r="P9" i="12" s="1"/>
  <c r="Q9" i="12" s="1"/>
  <c r="D244" i="12" l="1"/>
  <c r="P2" i="12" s="1"/>
  <c r="Q2" i="12" s="1"/>
  <c r="D245" i="12"/>
  <c r="P3" i="12" s="1"/>
  <c r="Q3" i="12" s="1"/>
  <c r="D249" i="12"/>
  <c r="P7" i="12" s="1"/>
  <c r="Q7" i="12" s="1"/>
  <c r="D250" i="12"/>
  <c r="P8" i="12" s="1"/>
  <c r="Q8" i="12" s="1"/>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 i="8"/>
  <c r="F2" i="8"/>
  <c r="E2" i="8"/>
  <c r="L22" i="6"/>
  <c r="N25" i="4"/>
  <c r="N28" i="4"/>
  <c r="N29" i="4"/>
  <c r="N44" i="4"/>
  <c r="O50" i="4"/>
  <c r="N55" i="4"/>
  <c r="N73" i="4"/>
  <c r="N76" i="4"/>
  <c r="O76" i="4"/>
  <c r="N89" i="4"/>
  <c r="N92" i="4"/>
  <c r="N93" i="4"/>
  <c r="N108" i="4"/>
  <c r="N119" i="4"/>
  <c r="N137" i="4"/>
  <c r="N140" i="4"/>
  <c r="N153" i="4"/>
  <c r="N156" i="4"/>
  <c r="O156" i="4"/>
  <c r="N169" i="4"/>
  <c r="N172" i="4"/>
  <c r="N173" i="4"/>
  <c r="N185" i="4"/>
  <c r="N188" i="4"/>
  <c r="N189" i="4"/>
  <c r="N193" i="4"/>
  <c r="N201" i="4"/>
  <c r="N204" i="4"/>
  <c r="N209" i="4"/>
  <c r="N217" i="4"/>
  <c r="N223" i="4"/>
  <c r="N225" i="4"/>
  <c r="N236" i="4"/>
  <c r="N239" i="4"/>
  <c r="N241" i="4"/>
  <c r="O242" i="4"/>
  <c r="N8" i="4"/>
  <c r="O8" i="4"/>
  <c r="O220" i="4" s="1"/>
  <c r="P8" i="4"/>
  <c r="K10" i="4"/>
  <c r="K11" i="4"/>
  <c r="N11" i="4" s="1"/>
  <c r="K12" i="4"/>
  <c r="K13" i="4"/>
  <c r="K14" i="4"/>
  <c r="K15" i="4"/>
  <c r="K16" i="4"/>
  <c r="K17" i="4"/>
  <c r="K18" i="4"/>
  <c r="N18" i="4" s="1"/>
  <c r="K19" i="4"/>
  <c r="K20" i="4"/>
  <c r="K21" i="4"/>
  <c r="K22" i="4"/>
  <c r="K23" i="4"/>
  <c r="K24" i="4"/>
  <c r="K25" i="4"/>
  <c r="K26" i="4"/>
  <c r="K27" i="4"/>
  <c r="N27" i="4" s="1"/>
  <c r="K28" i="4"/>
  <c r="K29" i="4"/>
  <c r="K30" i="4"/>
  <c r="K31" i="4"/>
  <c r="K32" i="4"/>
  <c r="K33" i="4"/>
  <c r="K34" i="4"/>
  <c r="N34" i="4" s="1"/>
  <c r="K35" i="4"/>
  <c r="K36" i="4"/>
  <c r="K37" i="4"/>
  <c r="K38" i="4"/>
  <c r="K39" i="4"/>
  <c r="K40" i="4"/>
  <c r="K41" i="4"/>
  <c r="K42" i="4"/>
  <c r="K43" i="4"/>
  <c r="N43" i="4" s="1"/>
  <c r="K44" i="4"/>
  <c r="K45" i="4"/>
  <c r="K46" i="4"/>
  <c r="K47" i="4"/>
  <c r="K48" i="4"/>
  <c r="K49" i="4"/>
  <c r="K50" i="4"/>
  <c r="N50" i="4" s="1"/>
  <c r="K51" i="4"/>
  <c r="K52" i="4"/>
  <c r="K53" i="4"/>
  <c r="K54" i="4"/>
  <c r="K55" i="4"/>
  <c r="K56" i="4"/>
  <c r="K57" i="4"/>
  <c r="K58" i="4"/>
  <c r="K59" i="4"/>
  <c r="N59" i="4" s="1"/>
  <c r="K60" i="4"/>
  <c r="N60" i="4" s="1"/>
  <c r="K61" i="4"/>
  <c r="K62" i="4"/>
  <c r="O62" i="4" s="1"/>
  <c r="K63" i="4"/>
  <c r="K64" i="4"/>
  <c r="K65" i="4"/>
  <c r="K66" i="4"/>
  <c r="N66" i="4" s="1"/>
  <c r="K67" i="4"/>
  <c r="K68" i="4"/>
  <c r="K69" i="4"/>
  <c r="K70" i="4"/>
  <c r="K71" i="4"/>
  <c r="K72" i="4"/>
  <c r="K73" i="4"/>
  <c r="K74" i="4"/>
  <c r="K75" i="4"/>
  <c r="N75" i="4" s="1"/>
  <c r="K76" i="4"/>
  <c r="K77" i="4"/>
  <c r="K78" i="4"/>
  <c r="K79" i="4"/>
  <c r="K80" i="4"/>
  <c r="K81" i="4"/>
  <c r="K82" i="4"/>
  <c r="N82" i="4" s="1"/>
  <c r="K83" i="4"/>
  <c r="K84" i="4"/>
  <c r="K85" i="4"/>
  <c r="K86" i="4"/>
  <c r="K87" i="4"/>
  <c r="K88" i="4"/>
  <c r="K89" i="4"/>
  <c r="K90" i="4"/>
  <c r="K91" i="4"/>
  <c r="N91" i="4" s="1"/>
  <c r="K92" i="4"/>
  <c r="K93" i="4"/>
  <c r="K94" i="4"/>
  <c r="K95" i="4"/>
  <c r="K96" i="4"/>
  <c r="K97" i="4"/>
  <c r="K98" i="4"/>
  <c r="N98" i="4" s="1"/>
  <c r="K99" i="4"/>
  <c r="K100" i="4"/>
  <c r="K101" i="4"/>
  <c r="K102" i="4"/>
  <c r="K103" i="4"/>
  <c r="K104" i="4"/>
  <c r="K105" i="4"/>
  <c r="K106" i="4"/>
  <c r="K107" i="4"/>
  <c r="N107" i="4" s="1"/>
  <c r="K108" i="4"/>
  <c r="K109" i="4"/>
  <c r="K110" i="4"/>
  <c r="K111" i="4"/>
  <c r="K112" i="4"/>
  <c r="K113" i="4"/>
  <c r="K114" i="4"/>
  <c r="N114" i="4" s="1"/>
  <c r="K115" i="4"/>
  <c r="K116" i="4"/>
  <c r="K117" i="4"/>
  <c r="K118" i="4"/>
  <c r="K119" i="4"/>
  <c r="K120" i="4"/>
  <c r="K121" i="4"/>
  <c r="K122" i="4"/>
  <c r="K123" i="4"/>
  <c r="N123" i="4" s="1"/>
  <c r="K124" i="4"/>
  <c r="N124" i="4" s="1"/>
  <c r="K125" i="4"/>
  <c r="K126" i="4"/>
  <c r="O126" i="4" s="1"/>
  <c r="K127" i="4"/>
  <c r="K128" i="4"/>
  <c r="K129" i="4"/>
  <c r="K130" i="4"/>
  <c r="N130" i="4" s="1"/>
  <c r="K131" i="4"/>
  <c r="K132" i="4"/>
  <c r="K133" i="4"/>
  <c r="K134" i="4"/>
  <c r="P134" i="4" s="1"/>
  <c r="K135" i="4"/>
  <c r="K136" i="4"/>
  <c r="O136" i="4" s="1"/>
  <c r="K137" i="4"/>
  <c r="K138" i="4"/>
  <c r="K139" i="4"/>
  <c r="N139" i="4" s="1"/>
  <c r="K140" i="4"/>
  <c r="K141" i="4"/>
  <c r="K142" i="4"/>
  <c r="O142" i="4" s="1"/>
  <c r="K143" i="4"/>
  <c r="K144" i="4"/>
  <c r="K145" i="4"/>
  <c r="K146" i="4"/>
  <c r="N146" i="4" s="1"/>
  <c r="K147" i="4"/>
  <c r="K148" i="4"/>
  <c r="K149" i="4"/>
  <c r="K150" i="4"/>
  <c r="P150" i="4" s="1"/>
  <c r="K151" i="4"/>
  <c r="K152" i="4"/>
  <c r="O152" i="4" s="1"/>
  <c r="K153" i="4"/>
  <c r="K154" i="4"/>
  <c r="K155" i="4"/>
  <c r="N155" i="4" s="1"/>
  <c r="K156" i="4"/>
  <c r="K157" i="4"/>
  <c r="K158" i="4"/>
  <c r="O158" i="4" s="1"/>
  <c r="K159" i="4"/>
  <c r="K160" i="4"/>
  <c r="K161" i="4"/>
  <c r="K162" i="4"/>
  <c r="N162" i="4" s="1"/>
  <c r="K163" i="4"/>
  <c r="K164" i="4"/>
  <c r="K165" i="4"/>
  <c r="K166" i="4"/>
  <c r="K167" i="4"/>
  <c r="K168" i="4"/>
  <c r="O168" i="4" s="1"/>
  <c r="K169" i="4"/>
  <c r="K170" i="4"/>
  <c r="K171" i="4"/>
  <c r="N171" i="4" s="1"/>
  <c r="K172" i="4"/>
  <c r="K173" i="4"/>
  <c r="K174" i="4"/>
  <c r="K175" i="4"/>
  <c r="K176" i="4"/>
  <c r="K177" i="4"/>
  <c r="K178" i="4"/>
  <c r="N178" i="4" s="1"/>
  <c r="K179" i="4"/>
  <c r="K180" i="4"/>
  <c r="K181" i="4"/>
  <c r="K182" i="4"/>
  <c r="K183" i="4"/>
  <c r="K184" i="4"/>
  <c r="O184" i="4" s="1"/>
  <c r="K185" i="4"/>
  <c r="K186" i="4"/>
  <c r="K187" i="4"/>
  <c r="N187" i="4" s="1"/>
  <c r="K188" i="4"/>
  <c r="K189" i="4"/>
  <c r="K190" i="4"/>
  <c r="K191" i="4"/>
  <c r="K192" i="4"/>
  <c r="K193" i="4"/>
  <c r="K194" i="4"/>
  <c r="N194" i="4" s="1"/>
  <c r="K195" i="4"/>
  <c r="K196" i="4"/>
  <c r="K197" i="4"/>
  <c r="K198" i="4"/>
  <c r="N198" i="4" s="1"/>
  <c r="K199" i="4"/>
  <c r="K200" i="4"/>
  <c r="O200" i="4" s="1"/>
  <c r="K201" i="4"/>
  <c r="K202" i="4"/>
  <c r="K203" i="4"/>
  <c r="N203" i="4" s="1"/>
  <c r="K204" i="4"/>
  <c r="K205" i="4"/>
  <c r="K206" i="4"/>
  <c r="O206" i="4" s="1"/>
  <c r="K207" i="4"/>
  <c r="K208" i="4"/>
  <c r="K209" i="4"/>
  <c r="K210" i="4"/>
  <c r="N210" i="4" s="1"/>
  <c r="K211" i="4"/>
  <c r="K212" i="4"/>
  <c r="K213" i="4"/>
  <c r="K214" i="4"/>
  <c r="N214" i="4" s="1"/>
  <c r="K215" i="4"/>
  <c r="P215" i="4" s="1"/>
  <c r="K216" i="4"/>
  <c r="O216" i="4" s="1"/>
  <c r="K217" i="4"/>
  <c r="K218" i="4"/>
  <c r="K219" i="4"/>
  <c r="N219" i="4" s="1"/>
  <c r="K220" i="4"/>
  <c r="N220" i="4" s="1"/>
  <c r="K221" i="4"/>
  <c r="K222" i="4"/>
  <c r="O222" i="4" s="1"/>
  <c r="K223" i="4"/>
  <c r="K224" i="4"/>
  <c r="K225" i="4"/>
  <c r="K226" i="4"/>
  <c r="N226" i="4" s="1"/>
  <c r="K227" i="4"/>
  <c r="K228" i="4"/>
  <c r="K229" i="4"/>
  <c r="K230" i="4"/>
  <c r="N230" i="4" s="1"/>
  <c r="K231" i="4"/>
  <c r="K232" i="4"/>
  <c r="K233" i="4"/>
  <c r="K234" i="4"/>
  <c r="K235" i="4"/>
  <c r="N235" i="4" s="1"/>
  <c r="K236" i="4"/>
  <c r="K237" i="4"/>
  <c r="K238" i="4"/>
  <c r="K239" i="4"/>
  <c r="K240" i="4"/>
  <c r="K241" i="4"/>
  <c r="K242" i="4"/>
  <c r="N242" i="4" s="1"/>
  <c r="K243" i="4"/>
  <c r="K244" i="4"/>
  <c r="K245" i="4"/>
  <c r="K246" i="4"/>
  <c r="N246" i="4" s="1"/>
  <c r="K247" i="4"/>
  <c r="K248" i="4"/>
  <c r="O248" i="4" s="1"/>
  <c r="K249" i="4"/>
  <c r="K250" i="4"/>
  <c r="K251" i="4"/>
  <c r="N251" i="4" s="1"/>
  <c r="K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N41" i="4" s="1"/>
  <c r="L42" i="4"/>
  <c r="L43" i="4"/>
  <c r="L44" i="4"/>
  <c r="L45" i="4"/>
  <c r="N45" i="4" s="1"/>
  <c r="L46" i="4"/>
  <c r="L47" i="4"/>
  <c r="L48" i="4"/>
  <c r="L49" i="4"/>
  <c r="L50" i="4"/>
  <c r="L51" i="4"/>
  <c r="L52" i="4"/>
  <c r="L53" i="4"/>
  <c r="L54" i="4"/>
  <c r="L55" i="4"/>
  <c r="L56" i="4"/>
  <c r="L57" i="4"/>
  <c r="N57" i="4" s="1"/>
  <c r="L58" i="4"/>
  <c r="L59" i="4"/>
  <c r="L60" i="4"/>
  <c r="L61" i="4"/>
  <c r="N61" i="4" s="1"/>
  <c r="L62" i="4"/>
  <c r="L63" i="4"/>
  <c r="L64" i="4"/>
  <c r="L65" i="4"/>
  <c r="L66" i="4"/>
  <c r="L67" i="4"/>
  <c r="L68" i="4"/>
  <c r="L69" i="4"/>
  <c r="L70" i="4"/>
  <c r="L71" i="4"/>
  <c r="L72" i="4"/>
  <c r="L73" i="4"/>
  <c r="L74" i="4"/>
  <c r="L75" i="4"/>
  <c r="L76" i="4"/>
  <c r="L77" i="4"/>
  <c r="N77" i="4" s="1"/>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N105" i="4" s="1"/>
  <c r="L106" i="4"/>
  <c r="L107" i="4"/>
  <c r="L108" i="4"/>
  <c r="L109" i="4"/>
  <c r="N109" i="4" s="1"/>
  <c r="L110" i="4"/>
  <c r="L111" i="4"/>
  <c r="L112" i="4"/>
  <c r="L113" i="4"/>
  <c r="L114" i="4"/>
  <c r="L115" i="4"/>
  <c r="L116" i="4"/>
  <c r="L117" i="4"/>
  <c r="L118" i="4"/>
  <c r="L119" i="4"/>
  <c r="L120" i="4"/>
  <c r="L121" i="4"/>
  <c r="N121" i="4" s="1"/>
  <c r="L122" i="4"/>
  <c r="L123" i="4"/>
  <c r="L124" i="4"/>
  <c r="L125" i="4"/>
  <c r="N125" i="4" s="1"/>
  <c r="L126" i="4"/>
  <c r="L127" i="4"/>
  <c r="L128" i="4"/>
  <c r="L129" i="4"/>
  <c r="L130" i="4"/>
  <c r="L131" i="4"/>
  <c r="L132" i="4"/>
  <c r="L133" i="4"/>
  <c r="L134" i="4"/>
  <c r="L135" i="4"/>
  <c r="L136" i="4"/>
  <c r="L137" i="4"/>
  <c r="L138" i="4"/>
  <c r="L139" i="4"/>
  <c r="L140" i="4"/>
  <c r="L141" i="4"/>
  <c r="N141" i="4" s="1"/>
  <c r="L142" i="4"/>
  <c r="L143" i="4"/>
  <c r="L144" i="4"/>
  <c r="L145" i="4"/>
  <c r="L146" i="4"/>
  <c r="L147" i="4"/>
  <c r="N147" i="4" s="1"/>
  <c r="L148" i="4"/>
  <c r="L149" i="4"/>
  <c r="L150" i="4"/>
  <c r="L151" i="4"/>
  <c r="L152" i="4"/>
  <c r="L153" i="4"/>
  <c r="L154" i="4"/>
  <c r="L155" i="4"/>
  <c r="L156" i="4"/>
  <c r="L157" i="4"/>
  <c r="N157" i="4" s="1"/>
  <c r="L158" i="4"/>
  <c r="L159" i="4"/>
  <c r="L160" i="4"/>
  <c r="L161" i="4"/>
  <c r="L162" i="4"/>
  <c r="L163" i="4"/>
  <c r="N163" i="4" s="1"/>
  <c r="L164" i="4"/>
  <c r="L165" i="4"/>
  <c r="L166" i="4"/>
  <c r="L167" i="4"/>
  <c r="L168" i="4"/>
  <c r="L169" i="4"/>
  <c r="L170" i="4"/>
  <c r="L171" i="4"/>
  <c r="L172" i="4"/>
  <c r="L173" i="4"/>
  <c r="L174" i="4"/>
  <c r="L175" i="4"/>
  <c r="L176" i="4"/>
  <c r="L177" i="4"/>
  <c r="L178" i="4"/>
  <c r="L179" i="4"/>
  <c r="N179" i="4" s="1"/>
  <c r="L180" i="4"/>
  <c r="L181" i="4"/>
  <c r="L182" i="4"/>
  <c r="L183" i="4"/>
  <c r="L184" i="4"/>
  <c r="L185" i="4"/>
  <c r="L186" i="4"/>
  <c r="L187" i="4"/>
  <c r="L188" i="4"/>
  <c r="L189" i="4"/>
  <c r="L190" i="4"/>
  <c r="L191" i="4"/>
  <c r="L192" i="4"/>
  <c r="L193" i="4"/>
  <c r="L194" i="4"/>
  <c r="L195" i="4"/>
  <c r="N195" i="4" s="1"/>
  <c r="L196" i="4"/>
  <c r="L197" i="4"/>
  <c r="L198" i="4"/>
  <c r="L199" i="4"/>
  <c r="L200" i="4"/>
  <c r="L201" i="4"/>
  <c r="L202" i="4"/>
  <c r="L203" i="4"/>
  <c r="L204" i="4"/>
  <c r="L205" i="4"/>
  <c r="N205" i="4" s="1"/>
  <c r="L206" i="4"/>
  <c r="L207" i="4"/>
  <c r="L208" i="4"/>
  <c r="L209" i="4"/>
  <c r="L210" i="4"/>
  <c r="L211" i="4"/>
  <c r="N211" i="4" s="1"/>
  <c r="L212" i="4"/>
  <c r="L213" i="4"/>
  <c r="L214" i="4"/>
  <c r="L215" i="4"/>
  <c r="N215" i="4" s="1"/>
  <c r="L216" i="4"/>
  <c r="L217" i="4"/>
  <c r="L218" i="4"/>
  <c r="L219" i="4"/>
  <c r="L220" i="4"/>
  <c r="L221" i="4"/>
  <c r="N221" i="4" s="1"/>
  <c r="L222" i="4"/>
  <c r="L223" i="4"/>
  <c r="L224" i="4"/>
  <c r="L225" i="4"/>
  <c r="L226" i="4"/>
  <c r="L227" i="4"/>
  <c r="N227" i="4" s="1"/>
  <c r="L228" i="4"/>
  <c r="O228" i="4" s="1"/>
  <c r="L229" i="4"/>
  <c r="L230" i="4"/>
  <c r="L231" i="4"/>
  <c r="L232" i="4"/>
  <c r="L233" i="4"/>
  <c r="N233" i="4" s="1"/>
  <c r="L234" i="4"/>
  <c r="L235" i="4"/>
  <c r="L236" i="4"/>
  <c r="L237" i="4"/>
  <c r="N237" i="4" s="1"/>
  <c r="L238" i="4"/>
  <c r="L239" i="4"/>
  <c r="L240" i="4"/>
  <c r="L241" i="4"/>
  <c r="L242" i="4"/>
  <c r="L243" i="4"/>
  <c r="N243" i="4" s="1"/>
  <c r="L244" i="4"/>
  <c r="O244" i="4" s="1"/>
  <c r="L245" i="4"/>
  <c r="L246" i="4"/>
  <c r="L247" i="4"/>
  <c r="L248" i="4"/>
  <c r="L249" i="4"/>
  <c r="N249" i="4" s="1"/>
  <c r="L250" i="4"/>
  <c r="L251" i="4"/>
  <c r="L9" i="4"/>
  <c r="M230" i="4"/>
  <c r="M231" i="4"/>
  <c r="M232" i="4"/>
  <c r="M233" i="4"/>
  <c r="M234" i="4"/>
  <c r="M235" i="4"/>
  <c r="M236" i="4"/>
  <c r="O241" i="4" s="1"/>
  <c r="M237" i="4"/>
  <c r="M238" i="4"/>
  <c r="O243" i="4" s="1"/>
  <c r="M239" i="4"/>
  <c r="M240" i="4"/>
  <c r="M241" i="4"/>
  <c r="M242" i="4"/>
  <c r="M243" i="4"/>
  <c r="M244" i="4"/>
  <c r="M245" i="4"/>
  <c r="M246" i="4"/>
  <c r="M247" i="4"/>
  <c r="M248" i="4"/>
  <c r="M249" i="4"/>
  <c r="M250" i="4"/>
  <c r="M251" i="4"/>
  <c r="L253" i="4"/>
  <c r="L254" i="4"/>
  <c r="L255" i="4"/>
  <c r="L256" i="4"/>
  <c r="M168" i="4"/>
  <c r="O173" i="4" s="1"/>
  <c r="M169" i="4"/>
  <c r="M170" i="4"/>
  <c r="M171" i="4"/>
  <c r="M172" i="4"/>
  <c r="O177" i="4" s="1"/>
  <c r="M173" i="4"/>
  <c r="M174" i="4"/>
  <c r="M175" i="4"/>
  <c r="M176" i="4"/>
  <c r="M177" i="4"/>
  <c r="M178" i="4"/>
  <c r="M179" i="4"/>
  <c r="M180" i="4"/>
  <c r="M181" i="4"/>
  <c r="M182" i="4"/>
  <c r="M183" i="4"/>
  <c r="M184" i="4"/>
  <c r="O189" i="4" s="1"/>
  <c r="M185" i="4"/>
  <c r="M186" i="4"/>
  <c r="M187" i="4"/>
  <c r="M188" i="4"/>
  <c r="O193" i="4" s="1"/>
  <c r="M189" i="4"/>
  <c r="M190" i="4"/>
  <c r="M191" i="4"/>
  <c r="M192" i="4"/>
  <c r="M193" i="4"/>
  <c r="M194" i="4"/>
  <c r="M195" i="4"/>
  <c r="M196" i="4"/>
  <c r="M197" i="4"/>
  <c r="M198" i="4"/>
  <c r="M199" i="4"/>
  <c r="M200" i="4"/>
  <c r="O205" i="4" s="1"/>
  <c r="M201" i="4"/>
  <c r="M202" i="4"/>
  <c r="M203" i="4"/>
  <c r="M204" i="4"/>
  <c r="O209" i="4" s="1"/>
  <c r="M205" i="4"/>
  <c r="M206" i="4"/>
  <c r="M207" i="4"/>
  <c r="M208" i="4"/>
  <c r="M209" i="4"/>
  <c r="M210" i="4"/>
  <c r="M211" i="4"/>
  <c r="M212" i="4"/>
  <c r="M213" i="4"/>
  <c r="M214" i="4"/>
  <c r="M215" i="4"/>
  <c r="M216" i="4"/>
  <c r="O221" i="4" s="1"/>
  <c r="M217" i="4"/>
  <c r="M218" i="4"/>
  <c r="M219" i="4"/>
  <c r="M220" i="4"/>
  <c r="O225" i="4" s="1"/>
  <c r="M221" i="4"/>
  <c r="M222" i="4"/>
  <c r="M223" i="4"/>
  <c r="M224" i="4"/>
  <c r="M225" i="4"/>
  <c r="M226" i="4"/>
  <c r="M227" i="4"/>
  <c r="M228" i="4"/>
  <c r="M229" i="4"/>
  <c r="M57" i="4"/>
  <c r="M58" i="4"/>
  <c r="M59" i="4"/>
  <c r="M60" i="4"/>
  <c r="O65" i="4" s="1"/>
  <c r="M61" i="4"/>
  <c r="O66" i="4" s="1"/>
  <c r="M62" i="4"/>
  <c r="M63" i="4"/>
  <c r="M64" i="4"/>
  <c r="M65" i="4"/>
  <c r="M66" i="4"/>
  <c r="M67" i="4"/>
  <c r="M68" i="4"/>
  <c r="M69" i="4"/>
  <c r="M70" i="4"/>
  <c r="M71" i="4"/>
  <c r="M72" i="4"/>
  <c r="M73" i="4"/>
  <c r="M74" i="4"/>
  <c r="M75" i="4"/>
  <c r="M76" i="4"/>
  <c r="O81" i="4" s="1"/>
  <c r="M77" i="4"/>
  <c r="O82" i="4" s="1"/>
  <c r="M78" i="4"/>
  <c r="M79" i="4"/>
  <c r="M80" i="4"/>
  <c r="M81" i="4"/>
  <c r="M82" i="4"/>
  <c r="M83" i="4"/>
  <c r="M84" i="4"/>
  <c r="M85" i="4"/>
  <c r="M86" i="4"/>
  <c r="M87" i="4"/>
  <c r="O92" i="4" s="1"/>
  <c r="M88" i="4"/>
  <c r="M89" i="4"/>
  <c r="O94" i="4" s="1"/>
  <c r="M90" i="4"/>
  <c r="M91" i="4"/>
  <c r="M92" i="4"/>
  <c r="O97" i="4" s="1"/>
  <c r="M93" i="4"/>
  <c r="O98" i="4" s="1"/>
  <c r="M94" i="4"/>
  <c r="M95" i="4"/>
  <c r="M96" i="4"/>
  <c r="M97" i="4"/>
  <c r="M98" i="4"/>
  <c r="M99" i="4"/>
  <c r="M100" i="4"/>
  <c r="M101" i="4"/>
  <c r="M102" i="4"/>
  <c r="M103" i="4"/>
  <c r="O108" i="4" s="1"/>
  <c r="M104" i="4"/>
  <c r="M105" i="4"/>
  <c r="O110" i="4" s="1"/>
  <c r="M106" i="4"/>
  <c r="M107" i="4"/>
  <c r="M108" i="4"/>
  <c r="O113" i="4" s="1"/>
  <c r="M109" i="4"/>
  <c r="M110" i="4"/>
  <c r="M111" i="4"/>
  <c r="M112" i="4"/>
  <c r="M113" i="4"/>
  <c r="M114" i="4"/>
  <c r="M115" i="4"/>
  <c r="M116" i="4"/>
  <c r="M117" i="4"/>
  <c r="M118" i="4"/>
  <c r="M119" i="4"/>
  <c r="M120" i="4"/>
  <c r="M121" i="4"/>
  <c r="M122" i="4"/>
  <c r="M123" i="4"/>
  <c r="M124" i="4"/>
  <c r="O129" i="4" s="1"/>
  <c r="M125" i="4"/>
  <c r="O130" i="4" s="1"/>
  <c r="M126" i="4"/>
  <c r="M127" i="4"/>
  <c r="M128" i="4"/>
  <c r="M129" i="4"/>
  <c r="M130" i="4"/>
  <c r="M131" i="4"/>
  <c r="M132" i="4"/>
  <c r="M133" i="4"/>
  <c r="M134" i="4"/>
  <c r="M135" i="4"/>
  <c r="M136" i="4"/>
  <c r="M137" i="4"/>
  <c r="M138" i="4"/>
  <c r="M139" i="4"/>
  <c r="M140" i="4"/>
  <c r="O145" i="4" s="1"/>
  <c r="M141" i="4"/>
  <c r="O146" i="4" s="1"/>
  <c r="M142" i="4"/>
  <c r="M143" i="4"/>
  <c r="M144" i="4"/>
  <c r="M145" i="4"/>
  <c r="M146" i="4"/>
  <c r="M147" i="4"/>
  <c r="M148" i="4"/>
  <c r="M149" i="4"/>
  <c r="M150" i="4"/>
  <c r="M151" i="4"/>
  <c r="M152" i="4"/>
  <c r="M153" i="4"/>
  <c r="M154" i="4"/>
  <c r="M155" i="4"/>
  <c r="M156" i="4"/>
  <c r="O161" i="4" s="1"/>
  <c r="M157" i="4"/>
  <c r="O162" i="4" s="1"/>
  <c r="M158" i="4"/>
  <c r="M159" i="4"/>
  <c r="M160" i="4"/>
  <c r="M161" i="4"/>
  <c r="M162" i="4"/>
  <c r="M163" i="4"/>
  <c r="M164" i="4"/>
  <c r="M165" i="4"/>
  <c r="M166" i="4"/>
  <c r="M167" i="4"/>
  <c r="M19" i="4"/>
  <c r="M20" i="4"/>
  <c r="M21" i="4"/>
  <c r="M22" i="4"/>
  <c r="M23" i="4"/>
  <c r="O28" i="4" s="1"/>
  <c r="M24" i="4"/>
  <c r="M25" i="4"/>
  <c r="M26" i="4"/>
  <c r="M27" i="4"/>
  <c r="M28" i="4"/>
  <c r="M29" i="4"/>
  <c r="O34" i="4" s="1"/>
  <c r="M30" i="4"/>
  <c r="M31" i="4"/>
  <c r="M32" i="4"/>
  <c r="M33" i="4"/>
  <c r="M34" i="4"/>
  <c r="M35" i="4"/>
  <c r="M36" i="4"/>
  <c r="M37" i="4"/>
  <c r="M38" i="4"/>
  <c r="M39" i="4"/>
  <c r="O44" i="4" s="1"/>
  <c r="M40" i="4"/>
  <c r="M41" i="4"/>
  <c r="M42" i="4"/>
  <c r="M43" i="4"/>
  <c r="M44" i="4"/>
  <c r="O49" i="4" s="1"/>
  <c r="M45" i="4"/>
  <c r="M46" i="4"/>
  <c r="M47" i="4"/>
  <c r="M48" i="4"/>
  <c r="M49" i="4"/>
  <c r="M50" i="4"/>
  <c r="M51" i="4"/>
  <c r="M52" i="4"/>
  <c r="M53" i="4"/>
  <c r="M54" i="4"/>
  <c r="M55" i="4"/>
  <c r="M56" i="4"/>
  <c r="M10" i="4"/>
  <c r="M11" i="4"/>
  <c r="M12" i="4"/>
  <c r="M13" i="4"/>
  <c r="O18" i="4" s="1"/>
  <c r="M14" i="4"/>
  <c r="M15" i="4"/>
  <c r="M16" i="4"/>
  <c r="M17" i="4"/>
  <c r="M18" i="4"/>
  <c r="M9" i="4"/>
  <c r="M5" i="4"/>
  <c r="P19" i="4" s="1"/>
  <c r="M4" i="4"/>
  <c r="M3" i="4"/>
  <c r="N15" i="4" s="1"/>
  <c r="K5" i="4"/>
  <c r="K4" i="4"/>
  <c r="P19" i="6"/>
  <c r="L17" i="6"/>
  <c r="Q10" i="12" l="1"/>
  <c r="N250" i="4"/>
  <c r="O250" i="4"/>
  <c r="P250" i="4"/>
  <c r="N234" i="4"/>
  <c r="O234" i="4"/>
  <c r="P234" i="4"/>
  <c r="N218" i="4"/>
  <c r="O218" i="4"/>
  <c r="P218" i="4"/>
  <c r="N202" i="4"/>
  <c r="O202" i="4"/>
  <c r="P202" i="4"/>
  <c r="N186" i="4"/>
  <c r="O186" i="4"/>
  <c r="P186" i="4"/>
  <c r="N170" i="4"/>
  <c r="O170" i="4"/>
  <c r="P170" i="4"/>
  <c r="N154" i="4"/>
  <c r="O154" i="4"/>
  <c r="P154" i="4"/>
  <c r="N138" i="4"/>
  <c r="O138" i="4"/>
  <c r="P138" i="4"/>
  <c r="N122" i="4"/>
  <c r="O122" i="4"/>
  <c r="P122" i="4"/>
  <c r="N106" i="4"/>
  <c r="O106" i="4"/>
  <c r="P106" i="4"/>
  <c r="N90" i="4"/>
  <c r="O90" i="4"/>
  <c r="P90" i="4"/>
  <c r="N74" i="4"/>
  <c r="O74" i="4"/>
  <c r="P74" i="4"/>
  <c r="N58" i="4"/>
  <c r="O58" i="4"/>
  <c r="P58" i="4"/>
  <c r="N42" i="4"/>
  <c r="O42" i="4"/>
  <c r="P42" i="4"/>
  <c r="N26" i="4"/>
  <c r="O26" i="4"/>
  <c r="P26" i="4"/>
  <c r="N10" i="4"/>
  <c r="O10" i="4"/>
  <c r="P10" i="4"/>
  <c r="P241" i="4"/>
  <c r="O230" i="4"/>
  <c r="P203" i="4"/>
  <c r="O188" i="4"/>
  <c r="O172" i="4"/>
  <c r="P118" i="4"/>
  <c r="P54" i="4"/>
  <c r="O33" i="4"/>
  <c r="O249" i="4"/>
  <c r="O233" i="4"/>
  <c r="O217" i="4"/>
  <c r="O201" i="4"/>
  <c r="O185" i="4"/>
  <c r="O169" i="4"/>
  <c r="O153" i="4"/>
  <c r="O137" i="4"/>
  <c r="O121" i="4"/>
  <c r="O105" i="4"/>
  <c r="O89" i="4"/>
  <c r="O73" i="4"/>
  <c r="O57" i="4"/>
  <c r="O41" i="4"/>
  <c r="O25" i="4"/>
  <c r="P115" i="4"/>
  <c r="P51" i="4"/>
  <c r="O30" i="4"/>
  <c r="N216" i="4"/>
  <c r="P216" i="4"/>
  <c r="N104" i="4"/>
  <c r="O104" i="4"/>
  <c r="P104" i="4"/>
  <c r="N24" i="4"/>
  <c r="O24" i="4"/>
  <c r="P24" i="4"/>
  <c r="O157" i="4"/>
  <c r="O52" i="4"/>
  <c r="O36" i="4"/>
  <c r="O20" i="4"/>
  <c r="O247" i="4"/>
  <c r="O231" i="4"/>
  <c r="O215" i="4"/>
  <c r="O199" i="4"/>
  <c r="O183" i="4"/>
  <c r="O167" i="4"/>
  <c r="O151" i="4"/>
  <c r="O135" i="4"/>
  <c r="O119" i="4"/>
  <c r="O103" i="4"/>
  <c r="O87" i="4"/>
  <c r="O71" i="4"/>
  <c r="O55" i="4"/>
  <c r="O39" i="4"/>
  <c r="O23" i="4"/>
  <c r="P214" i="4"/>
  <c r="P199" i="4"/>
  <c r="P151" i="4"/>
  <c r="N135" i="4"/>
  <c r="P113" i="4"/>
  <c r="N71" i="4"/>
  <c r="P49" i="4"/>
  <c r="P230" i="4"/>
  <c r="P97" i="4"/>
  <c r="N232" i="4"/>
  <c r="P232" i="4"/>
  <c r="N120" i="4"/>
  <c r="O120" i="4"/>
  <c r="P120" i="4"/>
  <c r="N56" i="4"/>
  <c r="O56" i="4"/>
  <c r="P56" i="4"/>
  <c r="O141" i="4"/>
  <c r="N166" i="4"/>
  <c r="O166" i="4"/>
  <c r="N118" i="4"/>
  <c r="O118" i="4"/>
  <c r="N70" i="4"/>
  <c r="O70" i="4"/>
  <c r="O22" i="4"/>
  <c r="N22" i="4"/>
  <c r="O226" i="4"/>
  <c r="O214" i="4"/>
  <c r="N199" i="4"/>
  <c r="P167" i="4"/>
  <c r="N151" i="4"/>
  <c r="P70" i="4"/>
  <c r="N184" i="4"/>
  <c r="P184" i="4"/>
  <c r="N72" i="4"/>
  <c r="O72" i="4"/>
  <c r="P72" i="4"/>
  <c r="P227" i="4"/>
  <c r="O125" i="4"/>
  <c r="N182" i="4"/>
  <c r="O182" i="4"/>
  <c r="N134" i="4"/>
  <c r="O134" i="4"/>
  <c r="N102" i="4"/>
  <c r="O102" i="4"/>
  <c r="N54" i="4"/>
  <c r="O54" i="4"/>
  <c r="P251" i="4"/>
  <c r="N229" i="4"/>
  <c r="N197" i="4"/>
  <c r="N165" i="4"/>
  <c r="N149" i="4"/>
  <c r="N117" i="4"/>
  <c r="N101" i="4"/>
  <c r="N85" i="4"/>
  <c r="N69" i="4"/>
  <c r="N53" i="4"/>
  <c r="N37" i="4"/>
  <c r="N21" i="4"/>
  <c r="P249" i="4"/>
  <c r="P225" i="4"/>
  <c r="P211" i="4"/>
  <c r="P198" i="4"/>
  <c r="P183" i="4"/>
  <c r="N167" i="4"/>
  <c r="P131" i="4"/>
  <c r="P67" i="4"/>
  <c r="O46" i="4"/>
  <c r="N200" i="4"/>
  <c r="P200" i="4"/>
  <c r="P135" i="4"/>
  <c r="O77" i="4"/>
  <c r="O150" i="4"/>
  <c r="N150" i="4"/>
  <c r="N86" i="4"/>
  <c r="O86" i="4"/>
  <c r="O238" i="4"/>
  <c r="N245" i="4"/>
  <c r="N213" i="4"/>
  <c r="N181" i="4"/>
  <c r="N133" i="4"/>
  <c r="P237" i="4"/>
  <c r="N244" i="4"/>
  <c r="N228" i="4"/>
  <c r="N212" i="4"/>
  <c r="N196" i="4"/>
  <c r="N180" i="4"/>
  <c r="N164" i="4"/>
  <c r="N148" i="4"/>
  <c r="N132" i="4"/>
  <c r="N116" i="4"/>
  <c r="N100" i="4"/>
  <c r="N84" i="4"/>
  <c r="N68" i="4"/>
  <c r="N52" i="4"/>
  <c r="N36" i="4"/>
  <c r="N20" i="4"/>
  <c r="O198" i="4"/>
  <c r="N183" i="4"/>
  <c r="P166" i="4"/>
  <c r="P147" i="4"/>
  <c r="P87" i="4"/>
  <c r="P23" i="4"/>
  <c r="N152" i="4"/>
  <c r="P152" i="4"/>
  <c r="P187" i="4"/>
  <c r="N38" i="4"/>
  <c r="O38" i="4"/>
  <c r="O236" i="4"/>
  <c r="O210" i="4"/>
  <c r="P195" i="4"/>
  <c r="P182" i="4"/>
  <c r="P163" i="4"/>
  <c r="P129" i="4"/>
  <c r="N87" i="4"/>
  <c r="P65" i="4"/>
  <c r="N23" i="4"/>
  <c r="P71" i="4"/>
  <c r="P247" i="4"/>
  <c r="P209" i="4"/>
  <c r="P179" i="4"/>
  <c r="P86" i="4"/>
  <c r="P22" i="4"/>
  <c r="N88" i="4"/>
  <c r="O88" i="4"/>
  <c r="P88" i="4"/>
  <c r="O19" i="4"/>
  <c r="O212" i="4"/>
  <c r="O196" i="4"/>
  <c r="O180" i="4"/>
  <c r="N247" i="4"/>
  <c r="P235" i="4"/>
  <c r="O194" i="4"/>
  <c r="P145" i="4"/>
  <c r="P83" i="4"/>
  <c r="P25" i="4"/>
  <c r="P41" i="4"/>
  <c r="P57" i="4"/>
  <c r="P73" i="4"/>
  <c r="P89" i="4"/>
  <c r="P105" i="4"/>
  <c r="P121" i="4"/>
  <c r="P137" i="4"/>
  <c r="P153" i="4"/>
  <c r="P169" i="4"/>
  <c r="P185" i="4"/>
  <c r="P201" i="4"/>
  <c r="P217" i="4"/>
  <c r="P27" i="4"/>
  <c r="P43" i="4"/>
  <c r="P59" i="4"/>
  <c r="P75" i="4"/>
  <c r="P91" i="4"/>
  <c r="P107" i="4"/>
  <c r="P123" i="4"/>
  <c r="P139" i="4"/>
  <c r="P155" i="4"/>
  <c r="P171" i="4"/>
  <c r="P11" i="4"/>
  <c r="P18" i="4"/>
  <c r="P34" i="4"/>
  <c r="P50" i="4"/>
  <c r="P66" i="4"/>
  <c r="P82" i="4"/>
  <c r="P98" i="4"/>
  <c r="P114" i="4"/>
  <c r="P130" i="4"/>
  <c r="P146" i="4"/>
  <c r="P162" i="4"/>
  <c r="P178" i="4"/>
  <c r="P194" i="4"/>
  <c r="P210" i="4"/>
  <c r="P226" i="4"/>
  <c r="P242" i="4"/>
  <c r="P13" i="4"/>
  <c r="P29" i="4"/>
  <c r="P45" i="4"/>
  <c r="P61" i="4"/>
  <c r="P77" i="4"/>
  <c r="P93" i="4"/>
  <c r="P109" i="4"/>
  <c r="P125" i="4"/>
  <c r="O35" i="4"/>
  <c r="O211" i="4"/>
  <c r="O179" i="4"/>
  <c r="P193" i="4"/>
  <c r="O178" i="4"/>
  <c r="P161" i="4"/>
  <c r="P103" i="4"/>
  <c r="P39" i="4"/>
  <c r="N136" i="4"/>
  <c r="P136" i="4"/>
  <c r="O93" i="4"/>
  <c r="O227" i="4"/>
  <c r="O195" i="4"/>
  <c r="O237" i="4"/>
  <c r="O13" i="4"/>
  <c r="N240" i="4"/>
  <c r="O240" i="4"/>
  <c r="P240" i="4"/>
  <c r="N224" i="4"/>
  <c r="O224" i="4"/>
  <c r="P224" i="4"/>
  <c r="N208" i="4"/>
  <c r="O208" i="4"/>
  <c r="P208" i="4"/>
  <c r="N192" i="4"/>
  <c r="O192" i="4"/>
  <c r="P192" i="4"/>
  <c r="N176" i="4"/>
  <c r="O176" i="4"/>
  <c r="P176" i="4"/>
  <c r="N160" i="4"/>
  <c r="O160" i="4"/>
  <c r="P160" i="4"/>
  <c r="N144" i="4"/>
  <c r="O144" i="4"/>
  <c r="P144" i="4"/>
  <c r="N128" i="4"/>
  <c r="O128" i="4"/>
  <c r="P128" i="4"/>
  <c r="N112" i="4"/>
  <c r="O112" i="4"/>
  <c r="P112" i="4"/>
  <c r="N96" i="4"/>
  <c r="O96" i="4"/>
  <c r="P96" i="4"/>
  <c r="N80" i="4"/>
  <c r="O80" i="4"/>
  <c r="P80" i="4"/>
  <c r="N64" i="4"/>
  <c r="O64" i="4"/>
  <c r="P64" i="4"/>
  <c r="N48" i="4"/>
  <c r="O48" i="4"/>
  <c r="P48" i="4"/>
  <c r="N32" i="4"/>
  <c r="O32" i="4"/>
  <c r="P32" i="4"/>
  <c r="N16" i="4"/>
  <c r="O16" i="4"/>
  <c r="P16" i="4"/>
  <c r="P246" i="4"/>
  <c r="P233" i="4"/>
  <c r="P221" i="4"/>
  <c r="O239" i="4"/>
  <c r="O223" i="4"/>
  <c r="O207" i="4"/>
  <c r="O191" i="4"/>
  <c r="O175" i="4"/>
  <c r="O159" i="4"/>
  <c r="O143" i="4"/>
  <c r="O127" i="4"/>
  <c r="O111" i="4"/>
  <c r="O95" i="4"/>
  <c r="O79" i="4"/>
  <c r="O63" i="4"/>
  <c r="O47" i="4"/>
  <c r="O31" i="4"/>
  <c r="O15" i="4"/>
  <c r="O246" i="4"/>
  <c r="P177" i="4"/>
  <c r="O124" i="4"/>
  <c r="N103" i="4"/>
  <c r="P81" i="4"/>
  <c r="O60" i="4"/>
  <c r="N39" i="4"/>
  <c r="P17" i="4"/>
  <c r="P33" i="4"/>
  <c r="O51" i="4"/>
  <c r="O148" i="4"/>
  <c r="O116" i="4"/>
  <c r="O100" i="4"/>
  <c r="O68" i="4"/>
  <c r="P206" i="4"/>
  <c r="N206" i="4"/>
  <c r="P141" i="4"/>
  <c r="P102" i="4"/>
  <c r="P38" i="4"/>
  <c r="O17" i="4"/>
  <c r="N168" i="4"/>
  <c r="P168" i="4"/>
  <c r="N40" i="4"/>
  <c r="O40" i="4"/>
  <c r="P40" i="4"/>
  <c r="O114" i="4"/>
  <c r="O109" i="4"/>
  <c r="O132" i="4"/>
  <c r="O84" i="4"/>
  <c r="P238" i="4"/>
  <c r="N238" i="4"/>
  <c r="P222" i="4"/>
  <c r="N222" i="4"/>
  <c r="P190" i="4"/>
  <c r="N190" i="4"/>
  <c r="P174" i="4"/>
  <c r="N174" i="4"/>
  <c r="P158" i="4"/>
  <c r="N158" i="4"/>
  <c r="P142" i="4"/>
  <c r="N142" i="4"/>
  <c r="P126" i="4"/>
  <c r="N126" i="4"/>
  <c r="P110" i="4"/>
  <c r="N110" i="4"/>
  <c r="P94" i="4"/>
  <c r="N94" i="4"/>
  <c r="P78" i="4"/>
  <c r="N78" i="4"/>
  <c r="P62" i="4"/>
  <c r="N62" i="4"/>
  <c r="P46" i="4"/>
  <c r="N46" i="4"/>
  <c r="P30" i="4"/>
  <c r="N30" i="4"/>
  <c r="P14" i="4"/>
  <c r="N14" i="4"/>
  <c r="O232" i="4"/>
  <c r="P205" i="4"/>
  <c r="O163" i="4"/>
  <c r="O147" i="4"/>
  <c r="O131" i="4"/>
  <c r="O115" i="4"/>
  <c r="O99" i="4"/>
  <c r="O83" i="4"/>
  <c r="O67" i="4"/>
  <c r="P243" i="4"/>
  <c r="P231" i="4"/>
  <c r="O190" i="4"/>
  <c r="O174" i="4"/>
  <c r="P157" i="4"/>
  <c r="P99" i="4"/>
  <c r="O78" i="4"/>
  <c r="P35" i="4"/>
  <c r="O14" i="4"/>
  <c r="N248" i="4"/>
  <c r="P248" i="4"/>
  <c r="O164" i="4"/>
  <c r="O61" i="4"/>
  <c r="O45" i="4"/>
  <c r="O29" i="4"/>
  <c r="N9" i="4"/>
  <c r="O9" i="4"/>
  <c r="P9" i="4"/>
  <c r="P236" i="4"/>
  <c r="P220" i="4"/>
  <c r="P204" i="4"/>
  <c r="P188" i="4"/>
  <c r="P172" i="4"/>
  <c r="P156" i="4"/>
  <c r="P140" i="4"/>
  <c r="P124" i="4"/>
  <c r="P108" i="4"/>
  <c r="P92" i="4"/>
  <c r="P76" i="4"/>
  <c r="P60" i="4"/>
  <c r="P44" i="4"/>
  <c r="P28" i="4"/>
  <c r="N12" i="4"/>
  <c r="O12" i="4"/>
  <c r="P12" i="4"/>
  <c r="N231" i="4"/>
  <c r="P219" i="4"/>
  <c r="O204" i="4"/>
  <c r="P189" i="4"/>
  <c r="P173" i="4"/>
  <c r="O140" i="4"/>
  <c r="P119" i="4"/>
  <c r="P55" i="4"/>
  <c r="N13" i="4"/>
  <c r="N131" i="4"/>
  <c r="N115" i="4"/>
  <c r="N99" i="4"/>
  <c r="N83" i="4"/>
  <c r="N67" i="4"/>
  <c r="N51" i="4"/>
  <c r="N35" i="4"/>
  <c r="N19" i="4"/>
  <c r="N161" i="4"/>
  <c r="N145" i="4"/>
  <c r="N129" i="4"/>
  <c r="N113" i="4"/>
  <c r="N97" i="4"/>
  <c r="N81" i="4"/>
  <c r="N65" i="4"/>
  <c r="N49" i="4"/>
  <c r="N33" i="4"/>
  <c r="N17" i="4"/>
  <c r="O251" i="4"/>
  <c r="O235" i="4"/>
  <c r="O219" i="4"/>
  <c r="O203" i="4"/>
  <c r="O187" i="4"/>
  <c r="O171" i="4"/>
  <c r="O155" i="4"/>
  <c r="O139" i="4"/>
  <c r="O123" i="4"/>
  <c r="O107" i="4"/>
  <c r="O91" i="4"/>
  <c r="O75" i="4"/>
  <c r="O59" i="4"/>
  <c r="O43" i="4"/>
  <c r="O27" i="4"/>
  <c r="O11" i="4"/>
  <c r="P245" i="4"/>
  <c r="P229" i="4"/>
  <c r="P213" i="4"/>
  <c r="P197" i="4"/>
  <c r="P181" i="4"/>
  <c r="P165" i="4"/>
  <c r="P149" i="4"/>
  <c r="P133" i="4"/>
  <c r="P117" i="4"/>
  <c r="P101" i="4"/>
  <c r="P85" i="4"/>
  <c r="P69" i="4"/>
  <c r="P53" i="4"/>
  <c r="P37" i="4"/>
  <c r="P21" i="4"/>
  <c r="O245" i="4"/>
  <c r="O229" i="4"/>
  <c r="O213" i="4"/>
  <c r="O197" i="4"/>
  <c r="O181" i="4"/>
  <c r="O165" i="4"/>
  <c r="O149" i="4"/>
  <c r="O133" i="4"/>
  <c r="O117" i="4"/>
  <c r="O101" i="4"/>
  <c r="O85" i="4"/>
  <c r="O69" i="4"/>
  <c r="O53" i="4"/>
  <c r="O37" i="4"/>
  <c r="O21" i="4"/>
  <c r="N177" i="4"/>
  <c r="P239" i="4"/>
  <c r="P223" i="4"/>
  <c r="P207" i="4"/>
  <c r="P191" i="4"/>
  <c r="P175" i="4"/>
  <c r="P159" i="4"/>
  <c r="P143" i="4"/>
  <c r="P127" i="4"/>
  <c r="P111" i="4"/>
  <c r="P95" i="4"/>
  <c r="P79" i="4"/>
  <c r="P63" i="4"/>
  <c r="P47" i="4"/>
  <c r="P31" i="4"/>
  <c r="P15" i="4"/>
  <c r="P244" i="4"/>
  <c r="P228" i="4"/>
  <c r="P212" i="4"/>
  <c r="P196" i="4"/>
  <c r="P180" i="4"/>
  <c r="P164" i="4"/>
  <c r="P148" i="4"/>
  <c r="P132" i="4"/>
  <c r="P116" i="4"/>
  <c r="P100" i="4"/>
  <c r="P84" i="4"/>
  <c r="P68" i="4"/>
  <c r="P52" i="4"/>
  <c r="P36" i="4"/>
  <c r="P20" i="4"/>
  <c r="N207" i="4"/>
  <c r="N191" i="4"/>
  <c r="N175" i="4"/>
  <c r="N159" i="4"/>
  <c r="N143" i="4"/>
  <c r="N127" i="4"/>
  <c r="N111" i="4"/>
  <c r="N95" i="4"/>
  <c r="N79" i="4"/>
  <c r="N63" i="4"/>
  <c r="N47" i="4"/>
  <c r="N31" i="4"/>
  <c r="I4" i="4"/>
  <c r="J4" i="4" s="1"/>
  <c r="I5" i="4"/>
  <c r="J5" i="4" s="1"/>
  <c r="I3" i="4"/>
  <c r="J3" i="4" s="1"/>
  <c r="F4" i="4"/>
  <c r="F5" i="4"/>
  <c r="F3" i="4"/>
  <c r="D4" i="4"/>
  <c r="D5" i="4"/>
  <c r="D3" i="4"/>
  <c r="F29" i="4"/>
  <c r="F32" i="4"/>
  <c r="F33" i="4"/>
  <c r="F34" i="4"/>
  <c r="F57" i="4"/>
  <c r="F88" i="4"/>
  <c r="F89" i="4"/>
  <c r="F90" i="4"/>
  <c r="F91" i="4"/>
  <c r="F92" i="4"/>
  <c r="F93" i="4"/>
  <c r="F94" i="4"/>
  <c r="F95" i="4"/>
  <c r="F96" i="4"/>
  <c r="F97" i="4"/>
  <c r="F98" i="4"/>
  <c r="F99" i="4"/>
  <c r="F100" i="4"/>
  <c r="F101" i="4"/>
  <c r="F107" i="4"/>
  <c r="F108" i="4"/>
  <c r="F119" i="4"/>
  <c r="F120" i="4"/>
  <c r="F121" i="4"/>
  <c r="F122" i="4"/>
  <c r="F123" i="4"/>
  <c r="F124" i="4"/>
  <c r="F125" i="4"/>
  <c r="F126" i="4"/>
  <c r="F127" i="4"/>
  <c r="F128" i="4"/>
  <c r="F137" i="4"/>
  <c r="F138" i="4"/>
  <c r="F139" i="4"/>
  <c r="F140" i="4"/>
  <c r="F141" i="4"/>
  <c r="F142" i="4"/>
  <c r="F143" i="4"/>
  <c r="F144" i="4"/>
  <c r="F145" i="4"/>
  <c r="F146" i="4"/>
  <c r="F147" i="4"/>
  <c r="F148" i="4"/>
  <c r="F149" i="4"/>
  <c r="F150" i="4"/>
  <c r="F154" i="4"/>
  <c r="F155" i="4"/>
  <c r="F156" i="4"/>
  <c r="F157" i="4"/>
  <c r="F158" i="4"/>
  <c r="F159" i="4"/>
  <c r="F166" i="4"/>
  <c r="F167" i="4"/>
  <c r="F168" i="4"/>
  <c r="F169" i="4"/>
  <c r="F170" i="4"/>
  <c r="F171" i="4"/>
  <c r="F172" i="4"/>
  <c r="F173" i="4"/>
  <c r="F174" i="4"/>
  <c r="F175" i="4"/>
  <c r="F176" i="4"/>
  <c r="F177" i="4"/>
  <c r="F178" i="4"/>
  <c r="F179" i="4"/>
  <c r="F180" i="4"/>
  <c r="F187" i="4"/>
  <c r="F188" i="4"/>
  <c r="F189" i="4"/>
  <c r="F196" i="4"/>
  <c r="F197" i="4"/>
  <c r="F216" i="4"/>
  <c r="F217" i="4"/>
  <c r="F218" i="4"/>
  <c r="F219" i="4"/>
  <c r="F220" i="4"/>
  <c r="G251" i="4"/>
  <c r="G20" i="4" l="1"/>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2" i="4"/>
  <c r="G253" i="4"/>
  <c r="G254" i="4"/>
  <c r="G255" i="4"/>
  <c r="G256" i="4"/>
  <c r="G2" i="4"/>
  <c r="G3" i="4"/>
  <c r="G5" i="4"/>
  <c r="G6" i="4"/>
  <c r="G7" i="4"/>
  <c r="G8" i="4"/>
  <c r="G9" i="4"/>
  <c r="G10" i="4"/>
  <c r="G11" i="4"/>
  <c r="G12" i="4"/>
  <c r="G13" i="4"/>
  <c r="G14" i="4"/>
  <c r="G15" i="4"/>
  <c r="E8" i="4"/>
  <c r="E9" i="4"/>
  <c r="E10" i="4"/>
  <c r="E11" i="4"/>
  <c r="E12" i="4"/>
  <c r="E13" i="4"/>
  <c r="E22" i="4"/>
  <c r="E23" i="4"/>
  <c r="E24" i="4"/>
  <c r="E25" i="4"/>
  <c r="E26" i="4"/>
  <c r="E27" i="4"/>
  <c r="E28" i="4"/>
  <c r="E35" i="4"/>
  <c r="E36" i="4"/>
  <c r="E37" i="4"/>
  <c r="E38" i="4"/>
  <c r="E39" i="4"/>
  <c r="E40" i="4"/>
  <c r="E41" i="4"/>
  <c r="E42" i="4"/>
  <c r="E43" i="4"/>
  <c r="E44" i="4"/>
  <c r="E58" i="4"/>
  <c r="E59" i="4"/>
  <c r="E60" i="4"/>
  <c r="E61" i="4"/>
  <c r="E62" i="4"/>
  <c r="E63" i="4"/>
  <c r="E64" i="4"/>
  <c r="E65" i="4"/>
  <c r="E66" i="4"/>
  <c r="E67" i="4"/>
  <c r="E68" i="4"/>
  <c r="E79" i="4"/>
  <c r="E80" i="4"/>
  <c r="E81" i="4"/>
  <c r="E82" i="4"/>
  <c r="E102" i="4"/>
  <c r="E103" i="4"/>
  <c r="E104" i="4"/>
  <c r="E106" i="4"/>
  <c r="E7" i="4"/>
  <c r="D14" i="4"/>
  <c r="D15" i="4"/>
  <c r="D16" i="4"/>
  <c r="D17" i="4"/>
  <c r="D18" i="4"/>
  <c r="D19" i="4"/>
  <c r="D20" i="4"/>
  <c r="D21" i="4"/>
  <c r="D30" i="4"/>
  <c r="D31" i="4"/>
  <c r="D45" i="4"/>
  <c r="D46" i="4"/>
  <c r="D47" i="4"/>
  <c r="D48" i="4"/>
  <c r="D49" i="4"/>
  <c r="D50" i="4"/>
  <c r="D51" i="4"/>
  <c r="D52" i="4"/>
  <c r="D53" i="4"/>
  <c r="D54" i="4"/>
  <c r="D55" i="4"/>
  <c r="D56" i="4"/>
  <c r="D69" i="4"/>
  <c r="D70" i="4"/>
  <c r="D71" i="4"/>
  <c r="D72" i="4"/>
  <c r="D73" i="4"/>
  <c r="D74" i="4"/>
  <c r="D75" i="4"/>
  <c r="D76" i="4"/>
  <c r="D77" i="4"/>
  <c r="D78" i="4"/>
  <c r="D83" i="4"/>
  <c r="D84" i="4"/>
  <c r="D85" i="4"/>
  <c r="D86" i="4"/>
  <c r="D87" i="4"/>
  <c r="D105" i="4"/>
  <c r="D109" i="4"/>
  <c r="D110" i="4"/>
  <c r="D111" i="4"/>
  <c r="D112" i="4"/>
  <c r="D113" i="4"/>
  <c r="D114" i="4"/>
  <c r="D115" i="4"/>
  <c r="D116" i="4"/>
  <c r="D117" i="4"/>
  <c r="D118" i="4"/>
  <c r="D129" i="4"/>
  <c r="D130" i="4"/>
  <c r="D131" i="4"/>
  <c r="D132" i="4"/>
  <c r="D133" i="4"/>
  <c r="D134" i="4"/>
  <c r="D135" i="4"/>
  <c r="D136" i="4"/>
  <c r="D151" i="4"/>
  <c r="D152" i="4"/>
  <c r="D153" i="4"/>
  <c r="D160" i="4"/>
  <c r="D161" i="4"/>
  <c r="D162" i="4"/>
  <c r="D163" i="4"/>
  <c r="D164" i="4"/>
  <c r="D165" i="4"/>
  <c r="D181" i="4"/>
  <c r="D182" i="4"/>
  <c r="D183" i="4"/>
  <c r="D184" i="4"/>
  <c r="D185" i="4"/>
  <c r="D186" i="4"/>
  <c r="D190" i="4"/>
  <c r="D191" i="4"/>
  <c r="D192" i="4"/>
  <c r="D193" i="4"/>
  <c r="D194" i="4"/>
  <c r="D195" i="4"/>
  <c r="D198" i="4"/>
  <c r="D199" i="4"/>
  <c r="D200" i="4"/>
  <c r="D201" i="4"/>
  <c r="D202" i="4"/>
  <c r="D203" i="4"/>
  <c r="D204" i="4"/>
  <c r="D205" i="4"/>
  <c r="D206" i="4"/>
  <c r="D207" i="4"/>
  <c r="D208" i="4"/>
  <c r="D209" i="4"/>
  <c r="D210" i="4"/>
  <c r="D211" i="4"/>
  <c r="D212" i="4"/>
  <c r="D213" i="4"/>
  <c r="D214" i="4"/>
  <c r="D215"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100" i="4" l="1"/>
  <c r="E108" i="4"/>
  <c r="D171" i="4"/>
  <c r="E15" i="4"/>
  <c r="E177" i="4"/>
  <c r="D24" i="4"/>
  <c r="E150" i="4"/>
  <c r="E56" i="4"/>
  <c r="E121" i="4"/>
  <c r="E50" i="4"/>
  <c r="D23" i="4"/>
  <c r="E186" i="4"/>
  <c r="D156" i="4"/>
  <c r="E218" i="4"/>
  <c r="E162" i="4"/>
  <c r="E152" i="4"/>
  <c r="E55" i="4"/>
  <c r="E91" i="4"/>
  <c r="D166" i="4"/>
  <c r="D148" i="4"/>
  <c r="E92" i="4"/>
  <c r="D176" i="4"/>
  <c r="E114" i="4"/>
  <c r="D12" i="4"/>
  <c r="E207" i="4"/>
  <c r="E33" i="4"/>
  <c r="D126" i="4"/>
  <c r="D141" i="4"/>
  <c r="D175" i="4"/>
  <c r="E128" i="4"/>
  <c r="E77" i="4"/>
  <c r="E184" i="4"/>
  <c r="D196" i="4"/>
  <c r="D33" i="4"/>
  <c r="D158" i="4"/>
  <c r="E246" i="4"/>
  <c r="D121" i="4"/>
  <c r="E225" i="4"/>
  <c r="E97" i="4"/>
  <c r="E221" i="4"/>
  <c r="E139" i="4"/>
  <c r="E116" i="4"/>
  <c r="D101" i="4"/>
  <c r="E31" i="4"/>
  <c r="D170" i="4"/>
  <c r="E213" i="4"/>
  <c r="D22" i="4"/>
  <c r="D99" i="4"/>
  <c r="D63" i="4"/>
  <c r="E200" i="4"/>
  <c r="E75" i="4"/>
  <c r="E166" i="4"/>
  <c r="D29" i="4"/>
  <c r="E110" i="4"/>
  <c r="E216" i="4"/>
  <c r="E90" i="4"/>
  <c r="E70" i="4"/>
  <c r="D32" i="4"/>
  <c r="D147" i="4"/>
  <c r="E143" i="4"/>
  <c r="E252" i="4"/>
  <c r="D28" i="4"/>
  <c r="E48" i="4"/>
  <c r="D42" i="4"/>
  <c r="D137" i="4"/>
  <c r="E171" i="4"/>
  <c r="E111" i="4"/>
  <c r="E160" i="4"/>
  <c r="E105" i="4"/>
  <c r="D102" i="4"/>
  <c r="D125" i="4"/>
  <c r="E209" i="4"/>
  <c r="E193" i="4"/>
  <c r="E112" i="4"/>
  <c r="D8" i="4"/>
  <c r="D13" i="4"/>
  <c r="D36" i="4"/>
  <c r="E124" i="4"/>
  <c r="D11" i="4"/>
  <c r="E151" i="4"/>
  <c r="D169" i="4"/>
  <c r="E239" i="4"/>
  <c r="E133" i="4"/>
  <c r="E19" i="4"/>
  <c r="E96" i="4"/>
  <c r="D139" i="4"/>
  <c r="D138" i="4"/>
  <c r="E180" i="4"/>
  <c r="E181" i="4"/>
  <c r="E46" i="4"/>
  <c r="E52" i="4"/>
  <c r="D38" i="4"/>
  <c r="E238" i="4"/>
  <c r="E174" i="4"/>
  <c r="E53" i="4"/>
  <c r="D155" i="4"/>
  <c r="E76" i="4"/>
  <c r="E220" i="4"/>
  <c r="D146" i="4"/>
  <c r="D124" i="4"/>
  <c r="E198" i="4"/>
  <c r="E74" i="4"/>
  <c r="D35" i="4"/>
  <c r="E165" i="4"/>
  <c r="D180" i="4"/>
  <c r="E94" i="4"/>
  <c r="E179" i="4"/>
  <c r="D94" i="4"/>
  <c r="E18" i="4"/>
  <c r="D79" i="4"/>
  <c r="E215" i="4"/>
  <c r="E20" i="4"/>
  <c r="D149" i="4"/>
  <c r="E191" i="4"/>
  <c r="E95" i="4"/>
  <c r="D174" i="4"/>
  <c r="D39" i="4"/>
  <c r="E88" i="4"/>
  <c r="D59" i="4"/>
  <c r="E230" i="4"/>
  <c r="E84" i="4"/>
  <c r="E78" i="4"/>
  <c r="E157" i="4"/>
  <c r="E176" i="4"/>
  <c r="E172" i="4"/>
  <c r="E183" i="4"/>
  <c r="D106" i="4"/>
  <c r="E85" i="4"/>
  <c r="E136" i="4"/>
  <c r="D107" i="4"/>
  <c r="E231" i="4"/>
  <c r="E159" i="4"/>
  <c r="E141" i="4"/>
  <c r="D10" i="4"/>
  <c r="D67" i="4"/>
  <c r="E169" i="4"/>
  <c r="E199" i="4"/>
  <c r="E242" i="4"/>
  <c r="D120" i="4"/>
  <c r="E16" i="4"/>
  <c r="D173" i="4"/>
  <c r="E167" i="4"/>
  <c r="E188" i="4"/>
  <c r="D157" i="4"/>
  <c r="D65" i="4"/>
  <c r="E205" i="4"/>
  <c r="D41" i="4"/>
  <c r="E125" i="4"/>
  <c r="E189" i="4"/>
  <c r="E115" i="4"/>
  <c r="E135" i="4"/>
  <c r="D68" i="4"/>
  <c r="E49" i="4"/>
  <c r="E137" i="4"/>
  <c r="E210" i="4"/>
  <c r="E109" i="4"/>
  <c r="E153" i="4"/>
  <c r="D27" i="4"/>
  <c r="E154" i="4"/>
  <c r="E45" i="4"/>
  <c r="D26" i="4"/>
  <c r="E197" i="4"/>
  <c r="D97" i="4"/>
  <c r="D143" i="4"/>
  <c r="D188" i="4"/>
  <c r="E175" i="4"/>
  <c r="D187" i="4"/>
  <c r="E228" i="4"/>
  <c r="D80" i="4"/>
  <c r="E122" i="4"/>
  <c r="E89" i="4"/>
  <c r="E98" i="4"/>
  <c r="E251" i="4"/>
  <c r="E208" i="4"/>
  <c r="E202" i="4"/>
  <c r="D57" i="4"/>
  <c r="D60" i="4"/>
  <c r="E129" i="4"/>
  <c r="D90" i="4"/>
  <c r="E168" i="4"/>
  <c r="D9" i="4"/>
  <c r="E182" i="4"/>
  <c r="E144" i="4"/>
  <c r="D189" i="4"/>
  <c r="D122" i="4"/>
  <c r="E178" i="4"/>
  <c r="E254" i="4"/>
  <c r="E223" i="4"/>
  <c r="E17" i="4"/>
  <c r="E256" i="4"/>
  <c r="D25" i="4"/>
  <c r="D103" i="4"/>
  <c r="E235" i="4"/>
  <c r="D219" i="4"/>
  <c r="D108" i="4"/>
  <c r="E140" i="4"/>
  <c r="E73" i="4"/>
  <c r="E99" i="4"/>
  <c r="E206" i="4"/>
  <c r="E156" i="4"/>
  <c r="D144" i="4"/>
  <c r="E245" i="4"/>
  <c r="E107" i="4"/>
  <c r="E229" i="4"/>
  <c r="D61" i="4"/>
  <c r="E243" i="4"/>
  <c r="E130" i="4"/>
  <c r="E34" i="4"/>
  <c r="E32" i="4"/>
  <c r="E248" i="4"/>
  <c r="D43" i="4"/>
  <c r="D44" i="4"/>
  <c r="E244" i="4"/>
  <c r="E190" i="4"/>
  <c r="E145" i="4"/>
  <c r="E29" i="4"/>
  <c r="E204" i="4"/>
  <c r="E86" i="4"/>
  <c r="D95" i="4"/>
  <c r="E100" i="4"/>
  <c r="D154" i="4"/>
  <c r="E241" i="4"/>
  <c r="D37" i="4"/>
  <c r="E255" i="4"/>
  <c r="E227" i="4"/>
  <c r="D66" i="4"/>
  <c r="E123" i="4"/>
  <c r="D92" i="4"/>
  <c r="D40" i="4"/>
  <c r="E138" i="4"/>
  <c r="E163" i="4"/>
  <c r="D119" i="4"/>
  <c r="E214" i="4"/>
  <c r="D104" i="4"/>
  <c r="E93" i="4"/>
  <c r="D34" i="4"/>
  <c r="E240" i="4"/>
  <c r="E185" i="4"/>
  <c r="E54" i="4"/>
  <c r="E57" i="4"/>
  <c r="E131" i="4"/>
  <c r="E158" i="4"/>
  <c r="D123" i="4"/>
  <c r="E195" i="4"/>
  <c r="E236" i="4"/>
  <c r="E127" i="4"/>
  <c r="E253" i="4"/>
  <c r="E170" i="4"/>
  <c r="E155" i="4"/>
  <c r="D218" i="4"/>
  <c r="E142" i="4"/>
  <c r="D81" i="4"/>
  <c r="E71" i="4"/>
  <c r="D91" i="4"/>
  <c r="E101" i="4"/>
  <c r="D142" i="4"/>
  <c r="E161" i="4"/>
  <c r="D93" i="4"/>
  <c r="D159" i="4"/>
  <c r="E233" i="4"/>
  <c r="E247" i="4"/>
  <c r="E192" i="4"/>
  <c r="D179" i="4"/>
  <c r="E117" i="4"/>
  <c r="E187" i="4"/>
  <c r="E249" i="4"/>
  <c r="E149" i="4"/>
  <c r="E212" i="4"/>
  <c r="D98" i="4"/>
  <c r="E51" i="4"/>
  <c r="E219" i="4"/>
  <c r="E226" i="4"/>
  <c r="D89" i="4"/>
  <c r="E148" i="4"/>
  <c r="E113" i="4"/>
  <c r="E126" i="4"/>
  <c r="D168" i="4"/>
  <c r="D140" i="4"/>
  <c r="D88" i="4"/>
  <c r="E211" i="4"/>
  <c r="E147" i="4"/>
  <c r="D216" i="4"/>
  <c r="D58" i="4"/>
  <c r="E134" i="4"/>
  <c r="D167" i="4"/>
  <c r="D96" i="4"/>
  <c r="D64" i="4"/>
  <c r="E250" i="4"/>
  <c r="E222" i="4"/>
  <c r="E132" i="4"/>
  <c r="E30" i="4"/>
  <c r="D177" i="4"/>
  <c r="E21" i="4"/>
  <c r="D172" i="4"/>
  <c r="E47" i="4"/>
  <c r="D220" i="4"/>
  <c r="D128" i="4"/>
  <c r="E118" i="4"/>
  <c r="D178" i="4"/>
  <c r="D145" i="4"/>
  <c r="E146" i="4"/>
  <c r="E120" i="4"/>
  <c r="E164" i="4"/>
  <c r="E237" i="4"/>
  <c r="E83" i="4"/>
  <c r="D62" i="4"/>
  <c r="E224" i="4"/>
  <c r="E232" i="4"/>
  <c r="E201" i="4"/>
  <c r="D197" i="4"/>
  <c r="E72" i="4"/>
  <c r="E234" i="4"/>
  <c r="E217" i="4"/>
  <c r="D217" i="4"/>
  <c r="E196" i="4"/>
  <c r="D82" i="4"/>
  <c r="D127" i="4"/>
  <c r="E194" i="4"/>
  <c r="E203" i="4"/>
  <c r="E69" i="4"/>
  <c r="D150" i="4"/>
  <c r="E173" i="4"/>
  <c r="E119" i="4"/>
  <c r="E87" i="4"/>
  <c r="D7" i="4"/>
  <c r="E14" i="4"/>
  <c r="B3" i="4" l="1"/>
  <c r="B4" i="4"/>
  <c r="H6" i="4" l="1"/>
  <c r="H7" i="4"/>
  <c r="H252" i="4"/>
  <c r="H256" i="4"/>
  <c r="H20" i="4"/>
  <c r="H24" i="4"/>
  <c r="H28" i="4"/>
  <c r="H32" i="4"/>
  <c r="H36" i="4"/>
  <c r="H40" i="4"/>
  <c r="H44" i="4"/>
  <c r="H48" i="4"/>
  <c r="H52" i="4"/>
  <c r="H56" i="4"/>
  <c r="H60" i="4"/>
  <c r="H64" i="4"/>
  <c r="H68" i="4"/>
  <c r="H72" i="4"/>
  <c r="H76" i="4"/>
  <c r="H80" i="4"/>
  <c r="H84" i="4"/>
  <c r="H88" i="4"/>
  <c r="H92" i="4"/>
  <c r="H96" i="4"/>
  <c r="H100" i="4"/>
  <c r="H104" i="4"/>
  <c r="H108" i="4"/>
  <c r="H112" i="4"/>
  <c r="H116" i="4"/>
  <c r="H120" i="4"/>
  <c r="H124" i="4"/>
  <c r="H128" i="4"/>
  <c r="H132" i="4"/>
  <c r="H136" i="4"/>
  <c r="H140" i="4"/>
  <c r="H144" i="4"/>
  <c r="H148" i="4"/>
  <c r="H152" i="4"/>
  <c r="H156" i="4"/>
  <c r="H160" i="4"/>
  <c r="H164" i="4"/>
  <c r="H168" i="4"/>
  <c r="H172" i="4"/>
  <c r="H176" i="4"/>
  <c r="H180" i="4"/>
  <c r="H184" i="4"/>
  <c r="H188" i="4"/>
  <c r="H192" i="4"/>
  <c r="H196" i="4"/>
  <c r="H200" i="4"/>
  <c r="H204" i="4"/>
  <c r="H208" i="4"/>
  <c r="H212" i="4"/>
  <c r="H216" i="4"/>
  <c r="H220" i="4"/>
  <c r="H224" i="4"/>
  <c r="H228" i="4"/>
  <c r="H232" i="4"/>
  <c r="H236" i="4"/>
  <c r="H240" i="4"/>
  <c r="H244" i="4"/>
  <c r="H248" i="4"/>
  <c r="H253" i="4"/>
  <c r="H21" i="4"/>
  <c r="H25" i="4"/>
  <c r="H29" i="4"/>
  <c r="H33" i="4"/>
  <c r="H37" i="4"/>
  <c r="H41" i="4"/>
  <c r="H45" i="4"/>
  <c r="H49" i="4"/>
  <c r="H53" i="4"/>
  <c r="H57" i="4"/>
  <c r="H61" i="4"/>
  <c r="H65" i="4"/>
  <c r="H69" i="4"/>
  <c r="H73" i="4"/>
  <c r="H77" i="4"/>
  <c r="H81" i="4"/>
  <c r="H85" i="4"/>
  <c r="H89" i="4"/>
  <c r="H93" i="4"/>
  <c r="H97" i="4"/>
  <c r="H101" i="4"/>
  <c r="H105" i="4"/>
  <c r="H109" i="4"/>
  <c r="H113" i="4"/>
  <c r="H117" i="4"/>
  <c r="H121" i="4"/>
  <c r="H125" i="4"/>
  <c r="H129" i="4"/>
  <c r="H133" i="4"/>
  <c r="H137" i="4"/>
  <c r="H141" i="4"/>
  <c r="H145" i="4"/>
  <c r="H149" i="4"/>
  <c r="H153" i="4"/>
  <c r="H157" i="4"/>
  <c r="H161" i="4"/>
  <c r="H165" i="4"/>
  <c r="H169" i="4"/>
  <c r="H173" i="4"/>
  <c r="H177" i="4"/>
  <c r="H181" i="4"/>
  <c r="H185" i="4"/>
  <c r="H189" i="4"/>
  <c r="H193" i="4"/>
  <c r="H197" i="4"/>
  <c r="H201" i="4"/>
  <c r="H205" i="4"/>
  <c r="H209" i="4"/>
  <c r="H213" i="4"/>
  <c r="H217" i="4"/>
  <c r="H221" i="4"/>
  <c r="H225" i="4"/>
  <c r="H229" i="4"/>
  <c r="H233" i="4"/>
  <c r="H237" i="4"/>
  <c r="H241" i="4"/>
  <c r="H245" i="4"/>
  <c r="H249" i="4"/>
  <c r="H34" i="4"/>
  <c r="H47" i="4"/>
  <c r="H82" i="4"/>
  <c r="H95" i="4"/>
  <c r="H130" i="4"/>
  <c r="H143" i="4"/>
  <c r="H178" i="4"/>
  <c r="H190" i="4"/>
  <c r="H202" i="4"/>
  <c r="H214" i="4"/>
  <c r="H226" i="4"/>
  <c r="H238" i="4"/>
  <c r="H250" i="4"/>
  <c r="H27" i="4"/>
  <c r="H62" i="4"/>
  <c r="H75" i="4"/>
  <c r="H110" i="4"/>
  <c r="H123" i="4"/>
  <c r="H158" i="4"/>
  <c r="H171" i="4"/>
  <c r="H42" i="4"/>
  <c r="H55" i="4"/>
  <c r="H90" i="4"/>
  <c r="H103" i="4"/>
  <c r="H138" i="4"/>
  <c r="H151" i="4"/>
  <c r="H251" i="4"/>
  <c r="H30" i="4"/>
  <c r="H43" i="4"/>
  <c r="H126" i="4"/>
  <c r="H139" i="4"/>
  <c r="H58" i="4"/>
  <c r="H71" i="4"/>
  <c r="H106" i="4"/>
  <c r="C4" i="4" s="1"/>
  <c r="G4" i="4" s="1"/>
  <c r="H119" i="4"/>
  <c r="H167" i="4"/>
  <c r="H86" i="4"/>
  <c r="H99" i="4"/>
  <c r="H187" i="4"/>
  <c r="H199" i="4"/>
  <c r="H211" i="4"/>
  <c r="H247" i="4"/>
  <c r="H254" i="4"/>
  <c r="H31" i="4"/>
  <c r="H114" i="4"/>
  <c r="H127" i="4"/>
  <c r="H175" i="4"/>
  <c r="H22" i="4"/>
  <c r="H35" i="4"/>
  <c r="H70" i="4"/>
  <c r="H83" i="4"/>
  <c r="H118" i="4"/>
  <c r="H131" i="4"/>
  <c r="H166" i="4"/>
  <c r="H179" i="4"/>
  <c r="H191" i="4"/>
  <c r="H203" i="4"/>
  <c r="H215" i="4"/>
  <c r="H227" i="4"/>
  <c r="H239" i="4"/>
  <c r="H50" i="4"/>
  <c r="H63" i="4"/>
  <c r="H98" i="4"/>
  <c r="H111" i="4"/>
  <c r="H146" i="4"/>
  <c r="H159" i="4"/>
  <c r="H186" i="4"/>
  <c r="H198" i="4"/>
  <c r="H210" i="4"/>
  <c r="H222" i="4"/>
  <c r="H234" i="4"/>
  <c r="H246" i="4"/>
  <c r="H78" i="4"/>
  <c r="H91" i="4"/>
  <c r="H174" i="4"/>
  <c r="H23" i="4"/>
  <c r="H154" i="4"/>
  <c r="H38" i="4"/>
  <c r="H51" i="4"/>
  <c r="H134" i="4"/>
  <c r="H147" i="4"/>
  <c r="H223" i="4"/>
  <c r="H235" i="4"/>
  <c r="H66" i="4"/>
  <c r="H79" i="4"/>
  <c r="H162" i="4"/>
  <c r="H142" i="4"/>
  <c r="H182" i="4"/>
  <c r="H218" i="4"/>
  <c r="H102" i="4"/>
  <c r="H122" i="4"/>
  <c r="H255" i="4"/>
  <c r="H163" i="4"/>
  <c r="H46" i="4"/>
  <c r="H195" i="4"/>
  <c r="H231" i="4"/>
  <c r="H39" i="4"/>
  <c r="H94" i="4"/>
  <c r="H183" i="4"/>
  <c r="H219" i="4"/>
  <c r="H54" i="4"/>
  <c r="H74" i="4"/>
  <c r="H135" i="4"/>
  <c r="H155" i="4"/>
  <c r="H194" i="4"/>
  <c r="H230" i="4"/>
  <c r="H115" i="4"/>
  <c r="H26" i="4"/>
  <c r="H87" i="4"/>
  <c r="H107" i="4"/>
  <c r="H67" i="4"/>
  <c r="H206" i="4"/>
  <c r="H242" i="4"/>
  <c r="H59" i="4"/>
  <c r="H150" i="4"/>
  <c r="H170" i="4"/>
  <c r="H207" i="4"/>
  <c r="H243" i="4"/>
  <c r="H12" i="4"/>
  <c r="H9" i="4"/>
  <c r="H10" i="4"/>
  <c r="H8" i="4"/>
  <c r="H13" i="4"/>
  <c r="H14" i="4"/>
  <c r="H11" i="4"/>
  <c r="F10" i="4" l="1"/>
  <c r="F21" i="4"/>
  <c r="F37" i="4"/>
  <c r="F51" i="4"/>
  <c r="F65" i="4"/>
  <c r="F79" i="4"/>
  <c r="F105" i="4"/>
  <c r="F133" i="4"/>
  <c r="F181" i="4"/>
  <c r="F195" i="4"/>
  <c r="F209" i="4"/>
  <c r="F223" i="4"/>
  <c r="F237" i="4"/>
  <c r="F253" i="4"/>
  <c r="F26" i="4"/>
  <c r="F39" i="4"/>
  <c r="F53" i="4"/>
  <c r="F67" i="4"/>
  <c r="F81" i="4"/>
  <c r="F225" i="4"/>
  <c r="F255" i="4"/>
  <c r="F27" i="4"/>
  <c r="F84" i="4"/>
  <c r="F109" i="4"/>
  <c r="F136" i="4"/>
  <c r="F160" i="4"/>
  <c r="F198" i="4"/>
  <c r="F242" i="4"/>
  <c r="F28" i="4"/>
  <c r="F69" i="4"/>
  <c r="F110" i="4"/>
  <c r="F161" i="4"/>
  <c r="F213" i="4"/>
  <c r="F42" i="4"/>
  <c r="F111" i="4"/>
  <c r="F162" i="4"/>
  <c r="F43" i="4"/>
  <c r="F248" i="4"/>
  <c r="F19" i="4"/>
  <c r="F63" i="4"/>
  <c r="F116" i="4"/>
  <c r="F193" i="4"/>
  <c r="F235" i="4"/>
  <c r="F20" i="4"/>
  <c r="F64" i="4"/>
  <c r="F104" i="4"/>
  <c r="F194" i="4"/>
  <c r="F236" i="4"/>
  <c r="F7" i="4"/>
  <c r="F25" i="4"/>
  <c r="F38" i="4"/>
  <c r="F52" i="4"/>
  <c r="F66" i="4"/>
  <c r="F80" i="4"/>
  <c r="F134" i="4"/>
  <c r="F182" i="4"/>
  <c r="F210" i="4"/>
  <c r="F224" i="4"/>
  <c r="F240" i="4"/>
  <c r="F254" i="4"/>
  <c r="F8" i="4"/>
  <c r="F135" i="4"/>
  <c r="F183" i="4"/>
  <c r="F211" i="4"/>
  <c r="F241" i="4"/>
  <c r="F9" i="4"/>
  <c r="F40" i="4"/>
  <c r="F68" i="4"/>
  <c r="F184" i="4"/>
  <c r="F212" i="4"/>
  <c r="F256" i="4"/>
  <c r="F41" i="4"/>
  <c r="F85" i="4"/>
  <c r="F185" i="4"/>
  <c r="F229" i="4"/>
  <c r="F14" i="4"/>
  <c r="F56" i="4"/>
  <c r="F86" i="4"/>
  <c r="F186" i="4"/>
  <c r="F230" i="4"/>
  <c r="F15" i="4"/>
  <c r="F30" i="4"/>
  <c r="F87" i="4"/>
  <c r="F112" i="4"/>
  <c r="F151" i="4"/>
  <c r="F245" i="4"/>
  <c r="F31" i="4"/>
  <c r="F44" i="4"/>
  <c r="F74" i="4"/>
  <c r="F152" i="4"/>
  <c r="F204" i="4"/>
  <c r="F232" i="4"/>
  <c r="F49" i="4"/>
  <c r="F103" i="4"/>
  <c r="F221" i="4"/>
  <c r="F54" i="4"/>
  <c r="F228" i="4"/>
  <c r="F13" i="4"/>
  <c r="F55" i="4"/>
  <c r="F199" i="4"/>
  <c r="F243" i="4"/>
  <c r="F72" i="4"/>
  <c r="F200" i="4"/>
  <c r="F244" i="4"/>
  <c r="F73" i="4"/>
  <c r="F163" i="4"/>
  <c r="F201" i="4"/>
  <c r="F231" i="4"/>
  <c r="F16" i="4"/>
  <c r="F60" i="4"/>
  <c r="F113" i="4"/>
  <c r="F164" i="4"/>
  <c r="F246" i="4"/>
  <c r="F17" i="4"/>
  <c r="F45" i="4"/>
  <c r="F61" i="4"/>
  <c r="F75" i="4"/>
  <c r="F114" i="4"/>
  <c r="F153" i="4"/>
  <c r="F165" i="4"/>
  <c r="F233" i="4"/>
  <c r="F247" i="4"/>
  <c r="F50" i="4"/>
  <c r="F222" i="4"/>
  <c r="F205" i="4"/>
  <c r="F18" i="4"/>
  <c r="F48" i="4"/>
  <c r="F62" i="4"/>
  <c r="F76" i="4"/>
  <c r="F102" i="4"/>
  <c r="F115" i="4"/>
  <c r="F206" i="4"/>
  <c r="F234" i="4"/>
  <c r="F192" i="4"/>
  <c r="F77" i="4"/>
  <c r="F129" i="4"/>
  <c r="F207" i="4"/>
  <c r="F249" i="4"/>
  <c r="F36" i="4"/>
  <c r="F78" i="4"/>
  <c r="F132" i="4"/>
  <c r="F208" i="4"/>
  <c r="F252" i="4"/>
  <c r="F117" i="4"/>
  <c r="F251" i="4"/>
  <c r="F23" i="4"/>
  <c r="F106" i="4"/>
  <c r="F58" i="4"/>
  <c r="F71" i="4"/>
  <c r="F130" i="4"/>
  <c r="F118" i="4"/>
  <c r="F239" i="4"/>
  <c r="F11" i="4"/>
  <c r="F82" i="4"/>
  <c r="F12" i="4"/>
  <c r="F227" i="4"/>
  <c r="F24" i="4"/>
  <c r="F70" i="4"/>
  <c r="F215" i="4"/>
  <c r="F202" i="4"/>
  <c r="F47" i="4"/>
  <c r="F35" i="4"/>
  <c r="F203" i="4"/>
  <c r="F250" i="4"/>
  <c r="F46" i="4"/>
  <c r="F226" i="4"/>
  <c r="F83" i="4"/>
  <c r="F190" i="4"/>
  <c r="F191" i="4"/>
  <c r="F238" i="4"/>
  <c r="F22" i="4"/>
  <c r="F131" i="4"/>
  <c r="F214" i="4"/>
  <c r="F59" i="4"/>
  <c r="B5" i="4" l="1"/>
  <c r="I252" i="4" s="1"/>
  <c r="I14" i="4" l="1"/>
  <c r="I249" i="4"/>
  <c r="I201" i="4"/>
  <c r="I166" i="4"/>
  <c r="I78" i="4"/>
  <c r="I110" i="4"/>
  <c r="I223" i="4"/>
  <c r="I135" i="4"/>
  <c r="I27" i="4"/>
  <c r="I153" i="4"/>
  <c r="I124" i="4"/>
  <c r="I15" i="4"/>
  <c r="I66" i="4"/>
  <c r="I122" i="4"/>
  <c r="I70" i="4"/>
  <c r="I30" i="4"/>
  <c r="I214" i="4"/>
  <c r="I215" i="4"/>
  <c r="I123" i="4"/>
  <c r="I149" i="4"/>
  <c r="I129" i="4"/>
  <c r="I10" i="4"/>
  <c r="I182" i="4"/>
  <c r="I246" i="4"/>
  <c r="I211" i="4"/>
  <c r="I117" i="4"/>
  <c r="I8" i="4"/>
  <c r="I142" i="4"/>
  <c r="I210" i="4"/>
  <c r="I207" i="4"/>
  <c r="I109" i="4"/>
  <c r="I7" i="4"/>
  <c r="I162" i="4"/>
  <c r="I186" i="4"/>
  <c r="I203" i="4"/>
  <c r="I240" i="4"/>
  <c r="I170" i="4"/>
  <c r="I42" i="4"/>
  <c r="I82" i="4"/>
  <c r="I87" i="4"/>
  <c r="I6" i="4"/>
  <c r="I241" i="4"/>
  <c r="I245" i="4"/>
  <c r="I83" i="4"/>
  <c r="I208" i="4"/>
  <c r="I46" i="4"/>
  <c r="I38" i="4"/>
  <c r="I150" i="4"/>
  <c r="I61" i="4"/>
  <c r="I179" i="4"/>
  <c r="I194" i="4"/>
  <c r="I22" i="4"/>
  <c r="I202" i="4"/>
  <c r="I119" i="4"/>
  <c r="I165" i="4"/>
  <c r="I74" i="4"/>
  <c r="I251" i="4"/>
  <c r="I190" i="4"/>
  <c r="I111" i="4"/>
  <c r="I244" i="4"/>
  <c r="I114" i="4"/>
  <c r="I90" i="4"/>
  <c r="I178" i="4"/>
  <c r="I107" i="4"/>
  <c r="I101" i="4"/>
  <c r="I9" i="4"/>
  <c r="I154" i="4"/>
  <c r="I98" i="4"/>
  <c r="I199" i="4"/>
  <c r="I81" i="4"/>
  <c r="I216" i="4"/>
  <c r="I189" i="4"/>
  <c r="I86" i="4"/>
  <c r="I34" i="4"/>
  <c r="I191" i="4"/>
  <c r="I73" i="4"/>
  <c r="I11" i="4"/>
  <c r="I205" i="4"/>
  <c r="I233" i="4"/>
  <c r="I187" i="4"/>
  <c r="I67" i="4"/>
  <c r="I196" i="4"/>
  <c r="I254" i="4"/>
  <c r="I213" i="4"/>
  <c r="I174" i="4"/>
  <c r="I106" i="4"/>
  <c r="I221" i="4"/>
  <c r="I102" i="4"/>
  <c r="I55" i="4"/>
  <c r="I49" i="4"/>
  <c r="I176" i="4"/>
  <c r="I242" i="4"/>
  <c r="I230" i="4"/>
  <c r="I126" i="4"/>
  <c r="I229" i="4"/>
  <c r="I197" i="4"/>
  <c r="I54" i="4"/>
  <c r="I151" i="4"/>
  <c r="I43" i="4"/>
  <c r="I33" i="4"/>
  <c r="I164" i="4"/>
  <c r="I206" i="4"/>
  <c r="I255" i="4"/>
  <c r="I222" i="4"/>
  <c r="I217" i="4"/>
  <c r="I185" i="4"/>
  <c r="I247" i="4"/>
  <c r="I143" i="4"/>
  <c r="I39" i="4"/>
  <c r="I21" i="4"/>
  <c r="I152" i="4"/>
  <c r="I12" i="4"/>
  <c r="I26" i="4"/>
  <c r="I237" i="4"/>
  <c r="I198" i="4"/>
  <c r="I181" i="4"/>
  <c r="I158" i="4"/>
  <c r="I227" i="4"/>
  <c r="I139" i="4"/>
  <c r="I35" i="4"/>
  <c r="I253" i="4"/>
  <c r="I148" i="4"/>
  <c r="I62" i="4"/>
  <c r="I239" i="4"/>
  <c r="I163" i="4"/>
  <c r="I79" i="4"/>
  <c r="I89" i="4"/>
  <c r="I157" i="4"/>
  <c r="I116" i="4"/>
  <c r="I225" i="4"/>
  <c r="I134" i="4"/>
  <c r="I138" i="4"/>
  <c r="I234" i="4"/>
  <c r="I250" i="4"/>
  <c r="I231" i="4"/>
  <c r="I155" i="4"/>
  <c r="I75" i="4"/>
  <c r="I85" i="4"/>
  <c r="I125" i="4"/>
  <c r="I100" i="4"/>
  <c r="I238" i="4"/>
  <c r="I235" i="4"/>
  <c r="I175" i="4"/>
  <c r="I103" i="4"/>
  <c r="I23" i="4"/>
  <c r="I41" i="4"/>
  <c r="I236" i="4"/>
  <c r="I96" i="4"/>
  <c r="I171" i="4"/>
  <c r="I91" i="4"/>
  <c r="I173" i="4"/>
  <c r="I37" i="4"/>
  <c r="I232" i="4"/>
  <c r="I88" i="4"/>
  <c r="I76" i="4"/>
  <c r="I131" i="4"/>
  <c r="I59" i="4"/>
  <c r="I93" i="4"/>
  <c r="I169" i="4"/>
  <c r="I200" i="4"/>
  <c r="I72" i="4"/>
  <c r="I118" i="4"/>
  <c r="I193" i="4"/>
  <c r="I209" i="4"/>
  <c r="I130" i="4"/>
  <c r="I219" i="4"/>
  <c r="I159" i="4"/>
  <c r="I95" i="4"/>
  <c r="I31" i="4"/>
  <c r="I77" i="4"/>
  <c r="I177" i="4"/>
  <c r="I188" i="4"/>
  <c r="I64" i="4"/>
  <c r="I183" i="4"/>
  <c r="I127" i="4"/>
  <c r="I71" i="4"/>
  <c r="I137" i="4"/>
  <c r="I45" i="4"/>
  <c r="I141" i="4"/>
  <c r="I168" i="4"/>
  <c r="I56" i="4"/>
  <c r="I69" i="4"/>
  <c r="I145" i="4"/>
  <c r="I228" i="4"/>
  <c r="I144" i="4"/>
  <c r="I52" i="4"/>
  <c r="I132" i="4"/>
  <c r="I48" i="4"/>
  <c r="I167" i="4"/>
  <c r="I115" i="4"/>
  <c r="I63" i="4"/>
  <c r="I133" i="4"/>
  <c r="I57" i="4"/>
  <c r="I25" i="4"/>
  <c r="I212" i="4"/>
  <c r="I128" i="4"/>
  <c r="I44" i="4"/>
  <c r="I184" i="4"/>
  <c r="I112" i="4"/>
  <c r="I40" i="4"/>
  <c r="I180" i="4"/>
  <c r="I104" i="4"/>
  <c r="I36" i="4"/>
  <c r="I32" i="4"/>
  <c r="I47" i="4"/>
  <c r="I113" i="4"/>
  <c r="I53" i="4"/>
  <c r="I105" i="4"/>
  <c r="I220" i="4"/>
  <c r="I160" i="4"/>
  <c r="I92" i="4"/>
  <c r="I20" i="4"/>
  <c r="I97" i="4"/>
  <c r="I140" i="4"/>
  <c r="I84" i="4"/>
  <c r="I28" i="4"/>
  <c r="I13" i="4"/>
  <c r="I94" i="4"/>
  <c r="I218" i="4"/>
  <c r="I146" i="4"/>
  <c r="I58" i="4"/>
  <c r="I50" i="4"/>
  <c r="I226" i="4"/>
  <c r="I243" i="4"/>
  <c r="I195" i="4"/>
  <c r="I147" i="4"/>
  <c r="I99" i="4"/>
  <c r="I51" i="4"/>
  <c r="I121" i="4"/>
  <c r="I65" i="4"/>
  <c r="I161" i="4"/>
  <c r="I248" i="4"/>
  <c r="I192" i="4"/>
  <c r="I136" i="4"/>
  <c r="I80" i="4"/>
  <c r="I24" i="4"/>
  <c r="I224" i="4"/>
  <c r="I172" i="4"/>
  <c r="I120" i="4"/>
  <c r="I68" i="4"/>
  <c r="I256" i="4"/>
  <c r="I29" i="4"/>
  <c r="I204" i="4"/>
  <c r="I156" i="4"/>
  <c r="I108" i="4"/>
  <c r="I6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A967596B-BD08-4066-BE0E-515894B7F651}">
      <text>
        <r>
          <rPr>
            <b/>
            <sz val="9"/>
            <color indexed="81"/>
            <rFont val="Tahoma"/>
            <family val="2"/>
          </rPr>
          <t>admin:</t>
        </r>
        <r>
          <rPr>
            <sz val="9"/>
            <color indexed="81"/>
            <rFont val="Tahoma"/>
            <family val="2"/>
          </rPr>
          <t xml:space="preserve">
Customer loyalty years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<sst xmlns="http://schemas.openxmlformats.org/spreadsheetml/2006/main" count="7423" uniqueCount="461">
  <si>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</si>
  <si>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</si>
  <si>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</si>
  <si>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</si>
  <si>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</si>
  <si>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</si>
  <si>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</si>
  <si>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</si>
  <si>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</si>
  <si>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</si>
  <si>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</si>
  <si>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</si>
  <si>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</si>
  <si>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</si>
  <si>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</si>
  <si>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</si>
  <si>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</si>
  <si>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</si>
  <si>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</si>
  <si>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</si>
  <si>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</si>
  <si>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</si>
  <si>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</si>
  <si>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</si>
  <si>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</si>
  <si>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</si>
  <si>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</si>
  <si>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</si>
  <si>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</si>
  <si>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</si>
  <si>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</si>
  <si>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</si>
  <si>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</si>
  <si>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</si>
  <si>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</si>
  <si>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</si>
  <si>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</si>
  <si>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</si>
  <si>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</si>
  <si>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</si>
  <si>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</si>
  <si>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</si>
  <si>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</si>
  <si>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</si>
  <si>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</si>
  <si>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</si>
  <si>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</si>
  <si>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</si>
  <si>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</si>
  <si>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</si>
  <si>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</si>
  <si>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</si>
  <si>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</si>
  <si>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</si>
  <si>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</si>
  <si>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</si>
  <si>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</si>
  <si>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</si>
  <si>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</si>
  <si>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</si>
  <si>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</si>
  <si>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</si>
  <si>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</si>
  <si>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</si>
  <si>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</si>
  <si>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</si>
  <si>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</si>
  <si>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</si>
  <si>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</si>
  <si>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</si>
  <si>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</si>
  <si>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</si>
  <si>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</si>
  <si>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</si>
  <si>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</si>
  <si>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</si>
  <si>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</si>
  <si>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</si>
  <si>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</si>
  <si>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</si>
  <si>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</si>
  <si>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</si>
  <si>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</si>
  <si>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</si>
  <si>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</si>
  <si>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</si>
  <si>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</si>
  <si>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</si>
  <si>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</si>
  <si>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</si>
  <si>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</si>
  <si>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</si>
  <si>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</si>
  <si>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</si>
  <si>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</si>
  <si>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</si>
  <si>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</si>
  <si>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</si>
  <si>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</si>
  <si>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</si>
  <si>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</si>
  <si>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</si>
  <si>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</si>
  <si>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</si>
  <si>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</si>
  <si>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</si>
  <si>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</si>
  <si>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</si>
  <si>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</si>
  <si>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</si>
  <si>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</si>
  <si>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</si>
  <si>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</si>
  <si>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</si>
  <si>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</si>
  <si>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</si>
  <si>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</si>
  <si>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</si>
  <si>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</si>
  <si>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</si>
  <si>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</si>
  <si>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</si>
  <si>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</si>
  <si>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</si>
  <si>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</si>
  <si>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</si>
  <si>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</si>
  <si>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</si>
  <si>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</si>
  <si>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</si>
  <si>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</si>
  <si>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</si>
  <si>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</si>
  <si>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</si>
  <si>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</si>
  <si>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</si>
  <si>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</si>
  <si>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</si>
  <si>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</si>
  <si>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</si>
  <si>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</si>
  <si>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</si>
  <si>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</si>
  <si>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</si>
  <si>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</si>
  <si>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</si>
  <si>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</si>
  <si>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</si>
  <si>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</si>
  <si>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</si>
  <si>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</si>
  <si>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</si>
  <si>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</si>
  <si>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</si>
  <si>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</si>
  <si>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</si>
  <si>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</si>
  <si>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</si>
  <si>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</si>
  <si>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</si>
  <si>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</si>
  <si>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</si>
  <si>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</si>
  <si>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</si>
  <si>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</si>
  <si>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</si>
  <si>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</si>
  <si>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</si>
  <si>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</si>
  <si>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</si>
  <si>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</si>
  <si>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</si>
  <si>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</si>
  <si>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</si>
  <si>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</si>
  <si>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</si>
  <si>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</si>
  <si>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</si>
  <si>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</si>
  <si>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</si>
  <si>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</si>
  <si>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</si>
  <si>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</si>
  <si>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</si>
  <si>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</si>
  <si>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</si>
  <si>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</si>
  <si>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</si>
  <si>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</si>
  <si>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</si>
  <si>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</si>
  <si>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</si>
  <si>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</si>
  <si>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</si>
  <si>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</si>
  <si>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</si>
  <si>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</si>
  <si>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</si>
  <si>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</si>
  <si>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</si>
  <si>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</si>
  <si>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</si>
  <si>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</si>
  <si>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</si>
  <si>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</si>
  <si>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</si>
  <si>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</si>
  <si>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</si>
  <si>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</si>
  <si>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</si>
  <si>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</si>
  <si>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</si>
  <si>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</si>
  <si>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</si>
  <si>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</si>
  <si>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</si>
  <si>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</si>
  <si>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</si>
  <si>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</si>
  <si>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</si>
  <si>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</si>
  <si>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</si>
  <si>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</si>
  <si>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</si>
  <si>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</si>
  <si>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</si>
  <si>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</si>
  <si>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</si>
  <si>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</si>
  <si>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</si>
  <si>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</si>
  <si>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</si>
  <si>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</si>
  <si>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</si>
  <si>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</si>
  <si>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</si>
  <si>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</si>
  <si>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</si>
  <si>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</si>
  <si>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</si>
  <si>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</si>
  <si>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</si>
  <si>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</si>
  <si>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</si>
  <si>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</si>
  <si>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</si>
  <si>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</si>
  <si>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</si>
  <si>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</si>
  <si>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</si>
  <si>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</si>
  <si>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</si>
  <si>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</si>
  <si>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</si>
  <si>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</si>
  <si>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</si>
  <si>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</si>
  <si>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</si>
  <si>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</si>
  <si>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</si>
  <si>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</si>
  <si>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</si>
  <si>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</si>
  <si>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</si>
  <si>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</si>
  <si>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</si>
  <si>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</si>
  <si>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</si>
  <si>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</si>
  <si>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</si>
  <si>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</si>
  <si>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</si>
  <si>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</si>
  <si>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</si>
  <si>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</si>
  <si>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</si>
  <si>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</si>
  <si>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</si>
  <si>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</si>
  <si>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</si>
  <si>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</si>
  <si>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</si>
  <si>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</si>
  <si>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</si>
  <si>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</si>
  <si>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</si>
  <si>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</si>
  <si>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</si>
  <si>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</si>
  <si>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</si>
  <si>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</si>
  <si>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</si>
  <si>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</si>
  <si>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</si>
  <si>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</si>
  <si>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</si>
  <si>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</si>
  <si>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</si>
  <si>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</si>
  <si>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</si>
  <si>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</si>
  <si>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</si>
  <si>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</si>
  <si>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</si>
  <si>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</si>
  <si>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</si>
  <si>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</si>
  <si>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</si>
  <si>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</si>
  <si>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</si>
  <si>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</si>
  <si>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</si>
  <si>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</si>
  <si>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</si>
  <si>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</si>
  <si>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</si>
  <si>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</si>
  <si>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</si>
  <si>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</si>
  <si>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</si>
  <si>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</si>
  <si>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</si>
  <si>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</si>
  <si>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</si>
  <si>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</si>
  <si>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</si>
  <si>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</si>
  <si>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</si>
  <si>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</si>
  <si>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</si>
  <si>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</si>
  <si>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</si>
  <si>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</si>
  <si>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</si>
  <si>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</si>
  <si>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</si>
  <si>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</si>
  <si>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</si>
  <si>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</si>
  <si>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</si>
  <si>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</si>
  <si>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</si>
  <si>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</si>
  <si>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</si>
  <si>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</si>
  <si>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</si>
  <si>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</si>
  <si>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</si>
  <si>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</si>
  <si>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</si>
  <si>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</si>
  <si>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</si>
  <si>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</si>
  <si>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</si>
  <si>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</si>
  <si>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</si>
  <si>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</si>
  <si>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</si>
  <si>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</si>
  <si>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</si>
  <si>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</si>
  <si>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</si>
  <si>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</si>
  <si>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</si>
  <si>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</si>
  <si>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</si>
  <si>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</si>
  <si>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</si>
  <si>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</si>
  <si>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</si>
  <si>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</si>
  <si>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</si>
  <si>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</si>
  <si>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</si>
  <si>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</si>
  <si>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</si>
  <si>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</si>
  <si>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</si>
  <si>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</si>
  <si>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</si>
  <si>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</si>
  <si>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</si>
  <si>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</si>
  <si>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</si>
  <si>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</si>
  <si>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</si>
  <si>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</si>
  <si>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</si>
  <si>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</si>
  <si>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</si>
  <si>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</si>
  <si>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</si>
  <si>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</si>
  <si>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</si>
  <si>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</si>
  <si>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</si>
  <si>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</si>
  <si>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</si>
  <si>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</si>
  <si>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</si>
  <si>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</si>
  <si>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dashboard</t>
  </si>
  <si>
    <t xml:space="preserve">Top customers by each categoruies </t>
  </si>
  <si>
    <t>max purchase value</t>
  </si>
  <si>
    <t>if elctronics</t>
  </si>
  <si>
    <t>if applince</t>
  </si>
  <si>
    <t>if furnichers</t>
  </si>
  <si>
    <t>Top revenue by each category</t>
  </si>
  <si>
    <t>most sold product by each category</t>
  </si>
  <si>
    <t>revenue total</t>
  </si>
  <si>
    <t>most sold qty</t>
  </si>
  <si>
    <t>most sold product name</t>
  </si>
  <si>
    <t>Row Labels</t>
  </si>
  <si>
    <t>Grand Total</t>
  </si>
  <si>
    <t>Sum of Quantity</t>
  </si>
  <si>
    <t>Sum of Total_Amount</t>
  </si>
  <si>
    <t>2024</t>
  </si>
  <si>
    <t>2025</t>
  </si>
  <si>
    <t>Column Labels</t>
  </si>
  <si>
    <t>Qtr2</t>
  </si>
  <si>
    <t>Qtr3</t>
  </si>
  <si>
    <t>Qtr4</t>
  </si>
  <si>
    <t>Date Dif</t>
  </si>
  <si>
    <t>EoMonth</t>
  </si>
  <si>
    <t xml:space="preserve">Today </t>
  </si>
  <si>
    <t>now</t>
  </si>
  <si>
    <t xml:space="preserve">filter function </t>
  </si>
  <si>
    <t>sum of total amount</t>
  </si>
  <si>
    <t>Scenario Summary</t>
  </si>
  <si>
    <t>Goal seek</t>
  </si>
  <si>
    <t>Column1</t>
  </si>
  <si>
    <t>Column2</t>
  </si>
  <si>
    <t>Current Values:</t>
  </si>
  <si>
    <t>incrise</t>
  </si>
  <si>
    <t>dicrise</t>
  </si>
  <si>
    <t>Created by Hanee on 09-11-2025</t>
  </si>
  <si>
    <t>Changing Cells:</t>
  </si>
  <si>
    <t>$A$2</t>
  </si>
  <si>
    <t>$A$3</t>
  </si>
  <si>
    <t>$A$4</t>
  </si>
  <si>
    <t>$A$5</t>
  </si>
  <si>
    <t>$A$6</t>
  </si>
  <si>
    <t>$A$7</t>
  </si>
  <si>
    <t>$A$8</t>
  </si>
  <si>
    <t>$A$9</t>
  </si>
  <si>
    <t>$A$10</t>
  </si>
  <si>
    <t>Result Cells:</t>
  </si>
  <si>
    <t>$D$2</t>
  </si>
  <si>
    <t>mean X</t>
  </si>
  <si>
    <t>mean Y</t>
  </si>
  <si>
    <t>diff of X</t>
  </si>
  <si>
    <t>diff of Y</t>
  </si>
  <si>
    <t>Product of Difference</t>
  </si>
  <si>
    <t>Sum of Product Difference of X and Y</t>
  </si>
  <si>
    <t>Difference of X Square</t>
  </si>
  <si>
    <t>Sum of Square Difference of X</t>
  </si>
  <si>
    <t>m</t>
  </si>
  <si>
    <t>c</t>
  </si>
  <si>
    <t>LR</t>
  </si>
  <si>
    <t>Qtr1</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</si>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</sst>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
    <numFmt numFmtId="166" formatCode="[$-14009]yyyy/mm/dd;@"/>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0"/>
      <name val="Calibri"/>
      <family val="2"/>
      <scheme val="minor"/>
    </font>
    <font>
      <b/>
      <sz val="11"/>
      <color theme="1"/>
      <name val="Calibri"/>
      <family val="2"/>
      <scheme val="minor"/>
    </font>
    <font>
      <b/>
      <sz val="11"/>
      <color theme="0"/>
      <name val="Calibri"/>
      <scheme val="minor"/>
    </font>
    <font>
      <sz val="26"/>
      <color theme="1"/>
      <name val="Calibri"/>
      <family val="2"/>
      <scheme val="minor"/>
    </font>
    <font>
      <sz val="9"/>
      <color indexed="81"/>
      <name val="Tahoma"/>
      <family val="2"/>
    </font>
    <font>
      <b/>
      <sz val="9"/>
      <color indexed="81"/>
      <name val="Tahoma"/>
      <family val="2"/>
    </font>
    <font>
      <b/>
      <sz val="12"/>
      <color indexed="9"/>
      <name val="Calibri"/>
      <family val="2"/>
      <scheme val="minor"/>
    </font>
    <font>
      <sz val="10"/>
      <color indexed="9"/>
      <name val="Calibri"/>
      <family val="2"/>
      <scheme val="minor"/>
    </font>
    <font>
      <b/>
      <sz val="11"/>
      <color indexed="8"/>
      <name val="Calibri"/>
      <family val="2"/>
      <scheme val="minor"/>
    </font>
    <font>
      <sz val="8"/>
      <color theme="1"/>
      <name val="Calibri"/>
      <family val="2"/>
      <scheme val="minor"/>
    </font>
    <font>
      <b/>
      <sz val="11"/>
      <color indexed="18"/>
      <name val="Calibri"/>
      <family val="2"/>
      <scheme val="minor"/>
    </font>
  </fonts>
  <fills count="14">
    <fill>
      <patternFill patternType="none"/>
    </fill>
    <fill>
      <patternFill patternType="gray125"/>
    </fill>
    <fill>
      <patternFill patternType="solid">
        <fgColor rgb="FFFFF2CC"/>
        <bgColor rgb="FFFFF2CC"/>
      </patternFill>
    </fill>
    <fill>
      <patternFill patternType="solid">
        <fgColor theme="4"/>
        <bgColor theme="4"/>
      </patternFill>
    </fill>
    <fill>
      <patternFill patternType="solid">
        <fgColor theme="4" tint="0.79998168889431442"/>
        <bgColor theme="4" tint="0.79998168889431442"/>
      </patternFill>
    </fill>
    <fill>
      <patternFill patternType="solid">
        <fgColor theme="6" tint="-0.249977111117893"/>
        <bgColor indexed="64"/>
      </patternFill>
    </fill>
    <fill>
      <patternFill patternType="solid">
        <fgColor theme="2" tint="-4.9989318521683403E-2"/>
        <bgColor indexed="64"/>
      </patternFill>
    </fill>
    <fill>
      <patternFill patternType="solid">
        <fgColor theme="3" tint="0.34998626667073579"/>
        <bgColor indexed="64"/>
      </patternFill>
    </fill>
    <fill>
      <patternFill patternType="solid">
        <fgColor indexed="22"/>
        <bgColor indexed="24"/>
      </patternFill>
    </fill>
    <fill>
      <patternFill patternType="solid">
        <fgColor theme="3" tint="0.499984740745262"/>
        <bgColor indexed="64"/>
      </patternFill>
    </fill>
    <fill>
      <patternFill patternType="solid">
        <fgColor indexed="22"/>
        <bgColor indexed="7"/>
      </patternFill>
    </fill>
    <fill>
      <patternFill patternType="solid">
        <fgColor theme="1"/>
        <bgColor indexed="64"/>
      </patternFill>
    </fill>
    <fill>
      <patternFill patternType="solid">
        <fgColor theme="8" tint="0.39997558519241921"/>
        <bgColor indexed="64"/>
      </patternFill>
    </fill>
    <fill>
      <patternFill patternType="solid">
        <fgColor theme="8" tint="-0.249977111117893"/>
        <bgColor indexed="2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2">
    <xf numFmtId="0" fontId="0" fillId="0" borderId="0"/>
    <xf numFmtId="9" fontId="5" fillId="0" borderId="0" applyFont="0" applyFill="0" applyBorder="0" applyAlignment="0" applyProtection="0"/>
  </cellStyleXfs>
  <cellXfs count="58">
    <xf numFmtId="0" fontId="0" fillId="0" borderId="0" xfId="0"/>
    <xf numFmtId="0" fontId="4" fillId="2" borderId="1" xfId="0" applyFont="1" applyFill="1" applyBorder="1" applyAlignment="1">
      <alignment horizontal="center"/>
    </xf>
    <xf numFmtId="0" fontId="5" fillId="0" borderId="0" xfId="0" applyFont="1" applyAlignment="1">
      <alignment horizontal="center" vertical="center"/>
    </xf>
    <xf numFmtId="0" fontId="7" fillId="0" borderId="0" xfId="0" applyFont="1"/>
    <xf numFmtId="0" fontId="5" fillId="0" borderId="0" xfId="0" applyFont="1"/>
    <xf numFmtId="164" fontId="5" fillId="0" borderId="0" xfId="0" applyNumberFormat="1" applyFont="1"/>
    <xf numFmtId="0" fontId="6" fillId="0" borderId="1" xfId="0" applyFont="1" applyBorder="1" applyAlignment="1">
      <alignment wrapText="1"/>
    </xf>
    <xf numFmtId="0" fontId="3" fillId="0" borderId="2" xfId="0" applyFont="1" applyBorder="1"/>
    <xf numFmtId="0" fontId="3" fillId="4" borderId="2" xfId="0" applyFont="1" applyFill="1" applyBorder="1"/>
    <xf numFmtId="0" fontId="3" fillId="0" borderId="0" xfId="0" applyFont="1"/>
    <xf numFmtId="0" fontId="3" fillId="0" borderId="0" xfId="0" applyFont="1" applyAlignment="1">
      <alignment wrapText="1"/>
    </xf>
    <xf numFmtId="0" fontId="10" fillId="3" borderId="2" xfId="0" applyFont="1" applyFill="1" applyBorder="1"/>
    <xf numFmtId="0" fontId="10" fillId="3" borderId="3" xfId="0" applyFont="1" applyFill="1" applyBorder="1"/>
    <xf numFmtId="2" fontId="0" fillId="0" borderId="0" xfId="0" applyNumberFormat="1"/>
    <xf numFmtId="2" fontId="3" fillId="0" borderId="3" xfId="0" applyNumberFormat="1" applyFont="1" applyBorder="1"/>
    <xf numFmtId="2" fontId="3" fillId="4" borderId="3" xfId="0" applyNumberFormat="1" applyFont="1" applyFill="1" applyBorder="1"/>
    <xf numFmtId="0" fontId="0" fillId="0" borderId="0" xfId="0" applyAlignment="1">
      <alignment horizontal="left"/>
    </xf>
    <xf numFmtId="0" fontId="3" fillId="4" borderId="4" xfId="0" applyFont="1" applyFill="1" applyBorder="1"/>
    <xf numFmtId="0" fontId="0" fillId="0" borderId="0" xfId="0" applyAlignment="1">
      <alignment wrapText="1"/>
    </xf>
    <xf numFmtId="1" fontId="5" fillId="0" borderId="0" xfId="0" applyNumberFormat="1" applyFont="1"/>
    <xf numFmtId="0" fontId="0" fillId="0" borderId="0" xfId="0" pivotButton="1"/>
    <xf numFmtId="0" fontId="0" fillId="0" borderId="0" xfId="0" applyAlignment="1">
      <alignment horizontal="left" indent="1"/>
    </xf>
    <xf numFmtId="0" fontId="12" fillId="3" borderId="2" xfId="0" applyFont="1" applyFill="1" applyBorder="1"/>
    <xf numFmtId="0" fontId="2" fillId="0" borderId="0" xfId="0" applyFont="1"/>
    <xf numFmtId="0" fontId="11" fillId="0" borderId="0" xfId="0" applyFont="1"/>
    <xf numFmtId="14" fontId="0" fillId="0" borderId="0" xfId="0" applyNumberFormat="1"/>
    <xf numFmtId="22" fontId="0" fillId="0" borderId="0" xfId="0" applyNumberFormat="1"/>
    <xf numFmtId="166" fontId="7" fillId="0" borderId="0" xfId="0" applyNumberFormat="1" applyFont="1"/>
    <xf numFmtId="166" fontId="5" fillId="0" borderId="0" xfId="0" applyNumberFormat="1" applyFont="1"/>
    <xf numFmtId="164" fontId="2" fillId="0" borderId="0" xfId="0" applyNumberFormat="1" applyFont="1"/>
    <xf numFmtId="0" fontId="2" fillId="6" borderId="0" xfId="0" applyFont="1" applyFill="1" applyAlignment="1">
      <alignment horizontal="center"/>
    </xf>
    <xf numFmtId="0" fontId="0" fillId="6" borderId="0" xfId="0" applyFill="1" applyAlignment="1">
      <alignment horizontal="center"/>
    </xf>
    <xf numFmtId="0" fontId="11" fillId="7" borderId="0" xfId="0" applyFont="1" applyFill="1"/>
    <xf numFmtId="0" fontId="18" fillId="8" borderId="0" xfId="0" applyFont="1" applyFill="1" applyAlignment="1">
      <alignment horizontal="left"/>
    </xf>
    <xf numFmtId="0" fontId="19" fillId="0" borderId="0" xfId="0" applyFont="1" applyAlignment="1">
      <alignment vertical="top" wrapText="1"/>
    </xf>
    <xf numFmtId="0" fontId="2" fillId="9" borderId="0" xfId="0" applyFont="1" applyFill="1"/>
    <xf numFmtId="0" fontId="20" fillId="8" borderId="8" xfId="0" applyFont="1" applyFill="1" applyBorder="1" applyAlignment="1">
      <alignment horizontal="left"/>
    </xf>
    <xf numFmtId="0" fontId="0" fillId="0" borderId="8" xfId="0" applyBorder="1"/>
    <xf numFmtId="0" fontId="0" fillId="10" borderId="0" xfId="0" applyFill="1"/>
    <xf numFmtId="0" fontId="18" fillId="8" borderId="9" xfId="0" applyFont="1" applyFill="1" applyBorder="1" applyAlignment="1">
      <alignment horizontal="left"/>
    </xf>
    <xf numFmtId="0" fontId="0" fillId="0" borderId="9" xfId="0" applyBorder="1"/>
    <xf numFmtId="9" fontId="0" fillId="0" borderId="0" xfId="1" applyFont="1"/>
    <xf numFmtId="9" fontId="0" fillId="0" borderId="0" xfId="0" applyNumberFormat="1"/>
    <xf numFmtId="0" fontId="2" fillId="5" borderId="0" xfId="0" applyFont="1" applyFill="1" applyAlignment="1">
      <alignment horizontal="center"/>
    </xf>
    <xf numFmtId="0" fontId="0" fillId="5" borderId="0" xfId="0" applyFill="1" applyAlignment="1">
      <alignment horizontal="center"/>
    </xf>
    <xf numFmtId="0" fontId="0" fillId="0" borderId="0" xfId="0" applyNumberFormat="1"/>
    <xf numFmtId="0" fontId="0" fillId="11" borderId="0" xfId="0" applyFill="1"/>
    <xf numFmtId="165" fontId="13" fillId="11" borderId="0" xfId="0" applyNumberFormat="1" applyFont="1" applyFill="1" applyAlignment="1">
      <alignment horizontal="center" vertical="center"/>
    </xf>
    <xf numFmtId="0" fontId="13" fillId="11" borderId="0" xfId="0" applyFont="1" applyFill="1" applyAlignment="1">
      <alignment horizontal="center" vertical="center"/>
    </xf>
    <xf numFmtId="0" fontId="1" fillId="12" borderId="5" xfId="0" applyFont="1" applyFill="1" applyBorder="1" applyAlignment="1">
      <alignment horizontal="center"/>
    </xf>
    <xf numFmtId="0" fontId="0" fillId="12" borderId="5" xfId="0" applyFill="1" applyBorder="1" applyAlignment="1">
      <alignment horizontal="center"/>
    </xf>
    <xf numFmtId="0" fontId="11" fillId="12" borderId="0" xfId="0" applyFont="1" applyFill="1" applyAlignment="1">
      <alignment horizontal="center" vertical="center"/>
    </xf>
    <xf numFmtId="0" fontId="11" fillId="12" borderId="0" xfId="0" applyFont="1" applyFill="1" applyAlignment="1">
      <alignment horizontal="center" vertical="center" wrapText="1"/>
    </xf>
    <xf numFmtId="0" fontId="16" fillId="13" borderId="6" xfId="0" applyFont="1" applyFill="1" applyBorder="1" applyAlignment="1">
      <alignment horizontal="left"/>
    </xf>
    <xf numFmtId="0" fontId="17" fillId="13" borderId="6" xfId="0" applyFont="1" applyFill="1" applyBorder="1" applyAlignment="1">
      <alignment horizontal="right"/>
    </xf>
    <xf numFmtId="0" fontId="16" fillId="13" borderId="7" xfId="0" applyFont="1" applyFill="1" applyBorder="1" applyAlignment="1">
      <alignment horizontal="left"/>
    </xf>
    <xf numFmtId="0" fontId="17" fillId="13" borderId="7" xfId="0" applyFont="1" applyFill="1" applyBorder="1" applyAlignment="1">
      <alignment horizontal="right"/>
    </xf>
    <xf numFmtId="0" fontId="1" fillId="0" borderId="0" xfId="0" applyFont="1"/>
  </cellXfs>
  <cellStyles count="2">
    <cellStyle name="Normal" xfId="0" builtinId="0"/>
    <cellStyle name="Percent" xfId="1" builtinId="5"/>
  </cellStyles>
  <dxfs count="20">
    <dxf>
      <font>
        <b val="0"/>
        <i val="0"/>
        <strike val="0"/>
        <condense val="0"/>
        <extend val="0"/>
        <outline val="0"/>
        <shadow val="0"/>
        <u val="none"/>
        <vertAlign val="baseline"/>
        <sz val="11"/>
        <color theme="1"/>
        <name val="Calibri"/>
        <scheme val="minor"/>
      </font>
      <fill>
        <patternFill patternType="solid">
          <fgColor indexed="64"/>
          <bgColor theme="3" tint="0.499984740745262"/>
        </patternFill>
      </fill>
    </dxf>
    <dxf>
      <font>
        <b val="0"/>
        <i val="0"/>
        <strike val="0"/>
        <condense val="0"/>
        <extend val="0"/>
        <outline val="0"/>
        <shadow val="0"/>
        <u val="none"/>
        <vertAlign val="baseline"/>
        <sz val="11"/>
        <color theme="1"/>
        <name val="Calibri"/>
        <scheme val="minor"/>
      </font>
      <fill>
        <patternFill patternType="solid">
          <fgColor indexed="64"/>
          <bgColor theme="3" tint="0.499984740745262"/>
        </patternFill>
      </fill>
    </dxf>
    <dxf>
      <font>
        <b val="0"/>
        <i val="0"/>
        <strike val="0"/>
        <condense val="0"/>
        <extend val="0"/>
        <outline val="0"/>
        <shadow val="0"/>
        <u val="none"/>
        <vertAlign val="baseline"/>
        <sz val="11"/>
        <color theme="1"/>
        <name val="Calibri"/>
        <scheme val="minor"/>
      </font>
      <fill>
        <patternFill patternType="solid">
          <fgColor indexed="64"/>
          <bgColor theme="3" tint="0.499984740745262"/>
        </patternFill>
      </fill>
    </dxf>
    <dxf>
      <font>
        <b val="0"/>
        <i val="0"/>
        <strike val="0"/>
        <condense val="0"/>
        <extend val="0"/>
        <outline val="0"/>
        <shadow val="0"/>
        <u val="none"/>
        <vertAlign val="baseline"/>
        <sz val="11"/>
        <color theme="1"/>
        <name val="Calibri"/>
        <scheme val="minor"/>
      </font>
      <fill>
        <patternFill patternType="solid">
          <fgColor indexed="64"/>
          <bgColor theme="3" tint="0.499984740745262"/>
        </patternFill>
      </fill>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Project_excel1.xlsx]Sheet1!PivotTable5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Appliances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Sheet1!$B$5:$B$12</c:f>
              <c:numCache>
                <c:formatCode>General</c:formatCode>
                <c:ptCount val="5"/>
                <c:pt idx="0">
                  <c:v>2439.62</c:v>
                </c:pt>
                <c:pt idx="1">
                  <c:v>1939.72</c:v>
                </c:pt>
                <c:pt idx="2">
                  <c:v>1519.77</c:v>
                </c:pt>
                <c:pt idx="3">
                  <c:v>2199.66</c:v>
                </c:pt>
                <c:pt idx="4">
                  <c:v>239.97</c:v>
                </c:pt>
              </c:numCache>
            </c:numRef>
          </c:val>
          <c:extLst>
            <c:ext xmlns:c16="http://schemas.microsoft.com/office/drawing/2014/chart" uri="{C3380CC4-5D6E-409C-BE32-E72D297353CC}">
              <c16:uniqueId val="{00000000-EFD7-478F-B5BB-CF39F1ADF106}"/>
            </c:ext>
          </c:extLst>
        </c:ser>
        <c:ser>
          <c:idx val="1"/>
          <c:order val="1"/>
          <c:tx>
            <c:strRef>
              <c:f>Sheet1!$C$3:$C$4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Sheet1!$C$5:$C$12</c:f>
              <c:numCache>
                <c:formatCode>General</c:formatCode>
                <c:ptCount val="5"/>
                <c:pt idx="0">
                  <c:v>45118.989999999983</c:v>
                </c:pt>
                <c:pt idx="1">
                  <c:v>34589.119999999988</c:v>
                </c:pt>
                <c:pt idx="2">
                  <c:v>42939.039999999979</c:v>
                </c:pt>
                <c:pt idx="3">
                  <c:v>42369.039999999986</c:v>
                </c:pt>
                <c:pt idx="4">
                  <c:v>6739.86</c:v>
                </c:pt>
              </c:numCache>
            </c:numRef>
          </c:val>
          <c:extLst>
            <c:ext xmlns:c16="http://schemas.microsoft.com/office/drawing/2014/chart" uri="{C3380CC4-5D6E-409C-BE32-E72D297353CC}">
              <c16:uniqueId val="{00000038-EFD7-478F-B5BB-CF39F1ADF106}"/>
            </c:ext>
          </c:extLst>
        </c:ser>
        <c:ser>
          <c:idx val="2"/>
          <c:order val="2"/>
          <c:tx>
            <c:strRef>
              <c:f>Sheet1!$D$3:$D$4</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Sheet1!$D$5:$D$12</c:f>
              <c:numCache>
                <c:formatCode>General</c:formatCode>
                <c:ptCount val="5"/>
                <c:pt idx="0">
                  <c:v>9699.52</c:v>
                </c:pt>
                <c:pt idx="1">
                  <c:v>10699.500000000004</c:v>
                </c:pt>
                <c:pt idx="2">
                  <c:v>11499.450000000004</c:v>
                </c:pt>
                <c:pt idx="3">
                  <c:v>17199.210000000003</c:v>
                </c:pt>
              </c:numCache>
            </c:numRef>
          </c:val>
          <c:extLst>
            <c:ext xmlns:c16="http://schemas.microsoft.com/office/drawing/2014/chart" uri="{C3380CC4-5D6E-409C-BE32-E72D297353CC}">
              <c16:uniqueId val="{00000039-EFD7-478F-B5BB-CF39F1ADF106}"/>
            </c:ext>
          </c:extLst>
        </c:ser>
        <c:dLbls>
          <c:showLegendKey val="0"/>
          <c:showVal val="0"/>
          <c:showCatName val="0"/>
          <c:showSerName val="0"/>
          <c:showPercent val="0"/>
          <c:showBubbleSize val="0"/>
        </c:dLbls>
        <c:gapWidth val="100"/>
        <c:overlap val="-24"/>
        <c:axId val="519311103"/>
        <c:axId val="519313023"/>
      </c:barChart>
      <c:catAx>
        <c:axId val="519311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313023"/>
        <c:crosses val="autoZero"/>
        <c:auto val="1"/>
        <c:lblAlgn val="ctr"/>
        <c:lblOffset val="100"/>
        <c:noMultiLvlLbl val="0"/>
      </c:catAx>
      <c:valAx>
        <c:axId val="519313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31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Project_excel1.xlsx]Sheet1!PivotTable5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Sheet1!$B$3:$B$4</c:f>
              <c:strCache>
                <c:ptCount val="1"/>
                <c:pt idx="0">
                  <c:v>Appliances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9E-485B-9E8E-7172F93016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9E-485B-9E8E-7172F93016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9E-485B-9E8E-7172F93016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Sheet1!$B$5:$B$12</c:f>
              <c:numCache>
                <c:formatCode>General</c:formatCode>
                <c:ptCount val="5"/>
                <c:pt idx="0">
                  <c:v>2439.62</c:v>
                </c:pt>
                <c:pt idx="1">
                  <c:v>1939.72</c:v>
                </c:pt>
                <c:pt idx="2">
                  <c:v>1519.77</c:v>
                </c:pt>
                <c:pt idx="3">
                  <c:v>2199.66</c:v>
                </c:pt>
                <c:pt idx="4">
                  <c:v>239.97</c:v>
                </c:pt>
              </c:numCache>
            </c:numRef>
          </c:val>
          <c:extLst>
            <c:ext xmlns:c16="http://schemas.microsoft.com/office/drawing/2014/chart" uri="{C3380CC4-5D6E-409C-BE32-E72D297353CC}">
              <c16:uniqueId val="{00000000-FE64-4730-BF6D-E9F952FDC16C}"/>
            </c:ext>
          </c:extLst>
        </c:ser>
        <c:ser>
          <c:idx val="1"/>
          <c:order val="1"/>
          <c:tx>
            <c:strRef>
              <c:f>Sheet1!$C$3:$C$4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59E-485B-9E8E-7172F93016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59E-485B-9E8E-7172F93016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59E-485B-9E8E-7172F93016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Sheet1!$C$5:$C$12</c:f>
              <c:numCache>
                <c:formatCode>General</c:formatCode>
                <c:ptCount val="5"/>
                <c:pt idx="0">
                  <c:v>45118.989999999983</c:v>
                </c:pt>
                <c:pt idx="1">
                  <c:v>34589.119999999988</c:v>
                </c:pt>
                <c:pt idx="2">
                  <c:v>42939.039999999979</c:v>
                </c:pt>
                <c:pt idx="3">
                  <c:v>42369.039999999986</c:v>
                </c:pt>
                <c:pt idx="4">
                  <c:v>6739.86</c:v>
                </c:pt>
              </c:numCache>
            </c:numRef>
          </c:val>
          <c:extLst>
            <c:ext xmlns:c16="http://schemas.microsoft.com/office/drawing/2014/chart" uri="{C3380CC4-5D6E-409C-BE32-E72D297353CC}">
              <c16:uniqueId val="{00000038-FE64-4730-BF6D-E9F952FDC16C}"/>
            </c:ext>
          </c:extLst>
        </c:ser>
        <c:ser>
          <c:idx val="2"/>
          <c:order val="2"/>
          <c:tx>
            <c:strRef>
              <c:f>Sheet1!$D$3:$D$4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59E-485B-9E8E-7172F93016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59E-485B-9E8E-7172F93016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59E-485B-9E8E-7172F93016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Sheet1!$D$5:$D$12</c:f>
              <c:numCache>
                <c:formatCode>General</c:formatCode>
                <c:ptCount val="5"/>
                <c:pt idx="0">
                  <c:v>9699.52</c:v>
                </c:pt>
                <c:pt idx="1">
                  <c:v>10699.500000000004</c:v>
                </c:pt>
                <c:pt idx="2">
                  <c:v>11499.450000000004</c:v>
                </c:pt>
                <c:pt idx="3">
                  <c:v>17199.210000000003</c:v>
                </c:pt>
              </c:numCache>
            </c:numRef>
          </c:val>
          <c:extLst>
            <c:ext xmlns:c16="http://schemas.microsoft.com/office/drawing/2014/chart" uri="{C3380CC4-5D6E-409C-BE32-E72D297353CC}">
              <c16:uniqueId val="{00000039-FE64-4730-BF6D-E9F952FDC1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Project_excel1.xlsx]Sheet1!PivotTable5</c:name>
    <c:fmtId val="7"/>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Appliances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Sheet1!$B$5:$B$12</c:f>
              <c:numCache>
                <c:formatCode>General</c:formatCode>
                <c:ptCount val="5"/>
                <c:pt idx="0">
                  <c:v>2439.62</c:v>
                </c:pt>
                <c:pt idx="1">
                  <c:v>1939.72</c:v>
                </c:pt>
                <c:pt idx="2">
                  <c:v>1519.77</c:v>
                </c:pt>
                <c:pt idx="3">
                  <c:v>2199.66</c:v>
                </c:pt>
                <c:pt idx="4">
                  <c:v>239.97</c:v>
                </c:pt>
              </c:numCache>
            </c:numRef>
          </c:val>
          <c:smooth val="0"/>
          <c:extLst>
            <c:ext xmlns:c16="http://schemas.microsoft.com/office/drawing/2014/chart" uri="{C3380CC4-5D6E-409C-BE32-E72D297353CC}">
              <c16:uniqueId val="{00000000-66EC-4B1E-9AA3-D6B68DDD5CCA}"/>
            </c:ext>
          </c:extLst>
        </c:ser>
        <c:ser>
          <c:idx val="1"/>
          <c:order val="1"/>
          <c:tx>
            <c:strRef>
              <c:f>Sheet1!$C$3:$C$4</c:f>
              <c:strCache>
                <c:ptCount val="1"/>
                <c:pt idx="0">
                  <c:v>Electronics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Sheet1!$C$5:$C$12</c:f>
              <c:numCache>
                <c:formatCode>General</c:formatCode>
                <c:ptCount val="5"/>
                <c:pt idx="0">
                  <c:v>45118.989999999983</c:v>
                </c:pt>
                <c:pt idx="1">
                  <c:v>34589.119999999988</c:v>
                </c:pt>
                <c:pt idx="2">
                  <c:v>42939.039999999979</c:v>
                </c:pt>
                <c:pt idx="3">
                  <c:v>42369.039999999986</c:v>
                </c:pt>
                <c:pt idx="4">
                  <c:v>6739.86</c:v>
                </c:pt>
              </c:numCache>
            </c:numRef>
          </c:val>
          <c:smooth val="0"/>
          <c:extLst>
            <c:ext xmlns:c16="http://schemas.microsoft.com/office/drawing/2014/chart" uri="{C3380CC4-5D6E-409C-BE32-E72D297353CC}">
              <c16:uniqueId val="{0000000C-66EC-4B1E-9AA3-D6B68DDD5CCA}"/>
            </c:ext>
          </c:extLst>
        </c:ser>
        <c:ser>
          <c:idx val="2"/>
          <c:order val="2"/>
          <c:tx>
            <c:strRef>
              <c:f>Sheet1!$D$3:$D$4</c:f>
              <c:strCache>
                <c:ptCount val="1"/>
                <c:pt idx="0">
                  <c:v>Furniture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Sheet1!$D$5:$D$12</c:f>
              <c:numCache>
                <c:formatCode>General</c:formatCode>
                <c:ptCount val="5"/>
                <c:pt idx="0">
                  <c:v>9699.52</c:v>
                </c:pt>
                <c:pt idx="1">
                  <c:v>10699.500000000004</c:v>
                </c:pt>
                <c:pt idx="2">
                  <c:v>11499.450000000004</c:v>
                </c:pt>
                <c:pt idx="3">
                  <c:v>17199.210000000003</c:v>
                </c:pt>
              </c:numCache>
            </c:numRef>
          </c:val>
          <c:smooth val="0"/>
          <c:extLst>
            <c:ext xmlns:c16="http://schemas.microsoft.com/office/drawing/2014/chart" uri="{C3380CC4-5D6E-409C-BE32-E72D297353CC}">
              <c16:uniqueId val="{0000000D-66EC-4B1E-9AA3-D6B68DDD5CCA}"/>
            </c:ext>
          </c:extLst>
        </c:ser>
        <c:dLbls>
          <c:showLegendKey val="0"/>
          <c:showVal val="0"/>
          <c:showCatName val="0"/>
          <c:showSerName val="0"/>
          <c:showPercent val="0"/>
          <c:showBubbleSize val="0"/>
        </c:dLbls>
        <c:marker val="1"/>
        <c:smooth val="0"/>
        <c:axId val="424252879"/>
        <c:axId val="424268719"/>
      </c:lineChart>
      <c:catAx>
        <c:axId val="424252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268719"/>
        <c:crosses val="autoZero"/>
        <c:auto val="1"/>
        <c:lblAlgn val="ctr"/>
        <c:lblOffset val="100"/>
        <c:noMultiLvlLbl val="0"/>
      </c:catAx>
      <c:valAx>
        <c:axId val="424268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25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Project_excel1.xlsx]Sheet1!PivotTable5</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FFFFFF">
                    <a:lumMod val="95000"/>
                  </a:srgbClr>
                </a:solidFill>
                <a:effectLst>
                  <a:outerShdw blurRad="50800" dist="38100" dir="5400000" algn="t" rotWithShape="0">
                    <a:prstClr val="black">
                      <a:alpha val="40000"/>
                    </a:prstClr>
                  </a:outerShdw>
                </a:effectLst>
              </a:rPr>
              <a:t>Categorycal Sales Trends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Appliances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Sheet1!$B$5:$B$12</c:f>
              <c:numCache>
                <c:formatCode>General</c:formatCode>
                <c:ptCount val="5"/>
                <c:pt idx="0">
                  <c:v>2439.62</c:v>
                </c:pt>
                <c:pt idx="1">
                  <c:v>1939.72</c:v>
                </c:pt>
                <c:pt idx="2">
                  <c:v>1519.77</c:v>
                </c:pt>
                <c:pt idx="3">
                  <c:v>2199.66</c:v>
                </c:pt>
                <c:pt idx="4">
                  <c:v>239.97</c:v>
                </c:pt>
              </c:numCache>
            </c:numRef>
          </c:val>
          <c:extLst>
            <c:ext xmlns:c16="http://schemas.microsoft.com/office/drawing/2014/chart" uri="{C3380CC4-5D6E-409C-BE32-E72D297353CC}">
              <c16:uniqueId val="{00000000-7411-432E-94CC-266C3AEC2ADC}"/>
            </c:ext>
          </c:extLst>
        </c:ser>
        <c:ser>
          <c:idx val="1"/>
          <c:order val="1"/>
          <c:tx>
            <c:strRef>
              <c:f>Sheet1!$C$3:$C$4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Sheet1!$C$5:$C$12</c:f>
              <c:numCache>
                <c:formatCode>General</c:formatCode>
                <c:ptCount val="5"/>
                <c:pt idx="0">
                  <c:v>45118.989999999983</c:v>
                </c:pt>
                <c:pt idx="1">
                  <c:v>34589.119999999988</c:v>
                </c:pt>
                <c:pt idx="2">
                  <c:v>42939.039999999979</c:v>
                </c:pt>
                <c:pt idx="3">
                  <c:v>42369.039999999986</c:v>
                </c:pt>
                <c:pt idx="4">
                  <c:v>6739.86</c:v>
                </c:pt>
              </c:numCache>
            </c:numRef>
          </c:val>
          <c:extLst>
            <c:ext xmlns:c16="http://schemas.microsoft.com/office/drawing/2014/chart" uri="{C3380CC4-5D6E-409C-BE32-E72D297353CC}">
              <c16:uniqueId val="{00000006-7411-432E-94CC-266C3AEC2ADC}"/>
            </c:ext>
          </c:extLst>
        </c:ser>
        <c:ser>
          <c:idx val="2"/>
          <c:order val="2"/>
          <c:tx>
            <c:strRef>
              <c:f>Sheet1!$D$3:$D$4</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Sheet1!$D$5:$D$12</c:f>
              <c:numCache>
                <c:formatCode>General</c:formatCode>
                <c:ptCount val="5"/>
                <c:pt idx="0">
                  <c:v>9699.52</c:v>
                </c:pt>
                <c:pt idx="1">
                  <c:v>10699.500000000004</c:v>
                </c:pt>
                <c:pt idx="2">
                  <c:v>11499.450000000004</c:v>
                </c:pt>
                <c:pt idx="3">
                  <c:v>17199.210000000003</c:v>
                </c:pt>
              </c:numCache>
            </c:numRef>
          </c:val>
          <c:extLst>
            <c:ext xmlns:c16="http://schemas.microsoft.com/office/drawing/2014/chart" uri="{C3380CC4-5D6E-409C-BE32-E72D297353CC}">
              <c16:uniqueId val="{00000007-7411-432E-94CC-266C3AEC2ADC}"/>
            </c:ext>
          </c:extLst>
        </c:ser>
        <c:dLbls>
          <c:showLegendKey val="0"/>
          <c:showVal val="0"/>
          <c:showCatName val="0"/>
          <c:showSerName val="0"/>
          <c:showPercent val="0"/>
          <c:showBubbleSize val="0"/>
        </c:dLbls>
        <c:gapWidth val="100"/>
        <c:overlap val="-24"/>
        <c:axId val="519311103"/>
        <c:axId val="519313023"/>
      </c:barChart>
      <c:catAx>
        <c:axId val="519311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313023"/>
        <c:crosses val="autoZero"/>
        <c:auto val="1"/>
        <c:lblAlgn val="ctr"/>
        <c:lblOffset val="100"/>
        <c:noMultiLvlLbl val="0"/>
      </c:catAx>
      <c:valAx>
        <c:axId val="519313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31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Project_excel1.xlsx]Sheet1!PivotTable5</c:name>
    <c:fmtId val="3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Sheet1!$B$3:$B$4</c:f>
              <c:strCache>
                <c:ptCount val="1"/>
                <c:pt idx="0">
                  <c:v>Appliances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05-4671-AE56-BCD6605B80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05-4671-AE56-BCD6605B80C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05-4671-AE56-BCD6605B80C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705-4671-AE56-BCD6605B80C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705-4671-AE56-BCD6605B80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Sheet1!$B$5:$B$12</c:f>
              <c:numCache>
                <c:formatCode>General</c:formatCode>
                <c:ptCount val="5"/>
                <c:pt idx="0">
                  <c:v>2439.62</c:v>
                </c:pt>
                <c:pt idx="1">
                  <c:v>1939.72</c:v>
                </c:pt>
                <c:pt idx="2">
                  <c:v>1519.77</c:v>
                </c:pt>
                <c:pt idx="3">
                  <c:v>2199.66</c:v>
                </c:pt>
                <c:pt idx="4">
                  <c:v>239.97</c:v>
                </c:pt>
              </c:numCache>
            </c:numRef>
          </c:val>
          <c:extLst>
            <c:ext xmlns:c16="http://schemas.microsoft.com/office/drawing/2014/chart" uri="{C3380CC4-5D6E-409C-BE32-E72D297353CC}">
              <c16:uniqueId val="{0000000A-3705-4671-AE56-BCD6605B80CE}"/>
            </c:ext>
          </c:extLst>
        </c:ser>
        <c:ser>
          <c:idx val="1"/>
          <c:order val="1"/>
          <c:tx>
            <c:strRef>
              <c:f>Sheet1!$C$3:$C$4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492-411C-97F4-D0CA8A334B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492-411C-97F4-D0CA8A334B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492-411C-97F4-D0CA8A334B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Sheet1!$C$5:$C$12</c:f>
              <c:numCache>
                <c:formatCode>General</c:formatCode>
                <c:ptCount val="5"/>
                <c:pt idx="0">
                  <c:v>45118.989999999983</c:v>
                </c:pt>
                <c:pt idx="1">
                  <c:v>34589.119999999988</c:v>
                </c:pt>
                <c:pt idx="2">
                  <c:v>42939.039999999979</c:v>
                </c:pt>
                <c:pt idx="3">
                  <c:v>42369.039999999986</c:v>
                </c:pt>
                <c:pt idx="4">
                  <c:v>6739.86</c:v>
                </c:pt>
              </c:numCache>
            </c:numRef>
          </c:val>
          <c:extLst>
            <c:ext xmlns:c16="http://schemas.microsoft.com/office/drawing/2014/chart" uri="{C3380CC4-5D6E-409C-BE32-E72D297353CC}">
              <c16:uniqueId val="{00000024-3705-4671-AE56-BCD6605B80CE}"/>
            </c:ext>
          </c:extLst>
        </c:ser>
        <c:ser>
          <c:idx val="2"/>
          <c:order val="2"/>
          <c:tx>
            <c:strRef>
              <c:f>Sheet1!$D$3:$D$4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492-411C-97F4-D0CA8A334B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492-411C-97F4-D0CA8A334B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492-411C-97F4-D0CA8A334B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Sheet1!$D$5:$D$12</c:f>
              <c:numCache>
                <c:formatCode>General</c:formatCode>
                <c:ptCount val="5"/>
                <c:pt idx="0">
                  <c:v>9699.52</c:v>
                </c:pt>
                <c:pt idx="1">
                  <c:v>10699.500000000004</c:v>
                </c:pt>
                <c:pt idx="2">
                  <c:v>11499.450000000004</c:v>
                </c:pt>
                <c:pt idx="3">
                  <c:v>17199.210000000003</c:v>
                </c:pt>
              </c:numCache>
            </c:numRef>
          </c:val>
          <c:extLst>
            <c:ext xmlns:c16="http://schemas.microsoft.com/office/drawing/2014/chart" uri="{C3380CC4-5D6E-409C-BE32-E72D297353CC}">
              <c16:uniqueId val="{00000025-3705-4671-AE56-BCD6605B80C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Project_excel1.xlsx]Sheet1!PivotTable5</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Quaterly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Appliances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Sheet1!$B$5:$B$12</c:f>
              <c:numCache>
                <c:formatCode>General</c:formatCode>
                <c:ptCount val="5"/>
                <c:pt idx="0">
                  <c:v>2439.62</c:v>
                </c:pt>
                <c:pt idx="1">
                  <c:v>1939.72</c:v>
                </c:pt>
                <c:pt idx="2">
                  <c:v>1519.77</c:v>
                </c:pt>
                <c:pt idx="3">
                  <c:v>2199.66</c:v>
                </c:pt>
                <c:pt idx="4">
                  <c:v>239.97</c:v>
                </c:pt>
              </c:numCache>
            </c:numRef>
          </c:val>
          <c:smooth val="0"/>
          <c:extLst>
            <c:ext xmlns:c16="http://schemas.microsoft.com/office/drawing/2014/chart" uri="{C3380CC4-5D6E-409C-BE32-E72D297353CC}">
              <c16:uniqueId val="{00000000-B836-4A2A-93DC-53DFD4F32994}"/>
            </c:ext>
          </c:extLst>
        </c:ser>
        <c:ser>
          <c:idx val="1"/>
          <c:order val="1"/>
          <c:tx>
            <c:strRef>
              <c:f>Sheet1!$C$3:$C$4</c:f>
              <c:strCache>
                <c:ptCount val="1"/>
                <c:pt idx="0">
                  <c:v>Electronics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Sheet1!$C$5:$C$12</c:f>
              <c:numCache>
                <c:formatCode>General</c:formatCode>
                <c:ptCount val="5"/>
                <c:pt idx="0">
                  <c:v>45118.989999999983</c:v>
                </c:pt>
                <c:pt idx="1">
                  <c:v>34589.119999999988</c:v>
                </c:pt>
                <c:pt idx="2">
                  <c:v>42939.039999999979</c:v>
                </c:pt>
                <c:pt idx="3">
                  <c:v>42369.039999999986</c:v>
                </c:pt>
                <c:pt idx="4">
                  <c:v>6739.86</c:v>
                </c:pt>
              </c:numCache>
            </c:numRef>
          </c:val>
          <c:smooth val="0"/>
          <c:extLst>
            <c:ext xmlns:c16="http://schemas.microsoft.com/office/drawing/2014/chart" uri="{C3380CC4-5D6E-409C-BE32-E72D297353CC}">
              <c16:uniqueId val="{00000006-B836-4A2A-93DC-53DFD4F32994}"/>
            </c:ext>
          </c:extLst>
        </c:ser>
        <c:ser>
          <c:idx val="2"/>
          <c:order val="2"/>
          <c:tx>
            <c:strRef>
              <c:f>Sheet1!$D$3:$D$4</c:f>
              <c:strCache>
                <c:ptCount val="1"/>
                <c:pt idx="0">
                  <c:v>Furniture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Sheet1!$A$5:$A$12</c:f>
              <c:multiLvlStrCache>
                <c:ptCount val="5"/>
                <c:lvl>
                  <c:pt idx="0">
                    <c:v>Qtr2</c:v>
                  </c:pt>
                  <c:pt idx="1">
                    <c:v>Qtr3</c:v>
                  </c:pt>
                  <c:pt idx="2">
                    <c:v>Qtr4</c:v>
                  </c:pt>
                  <c:pt idx="3">
                    <c:v>Qtr1</c:v>
                  </c:pt>
                  <c:pt idx="4">
                    <c:v>Qtr2</c:v>
                  </c:pt>
                </c:lvl>
                <c:lvl>
                  <c:pt idx="0">
                    <c:v>2024</c:v>
                  </c:pt>
                  <c:pt idx="3">
                    <c:v>2025</c:v>
                  </c:pt>
                </c:lvl>
              </c:multiLvlStrCache>
            </c:multiLvlStrRef>
          </c:cat>
          <c:val>
            <c:numRef>
              <c:f>Sheet1!$D$5:$D$12</c:f>
              <c:numCache>
                <c:formatCode>General</c:formatCode>
                <c:ptCount val="5"/>
                <c:pt idx="0">
                  <c:v>9699.52</c:v>
                </c:pt>
                <c:pt idx="1">
                  <c:v>10699.500000000004</c:v>
                </c:pt>
                <c:pt idx="2">
                  <c:v>11499.450000000004</c:v>
                </c:pt>
                <c:pt idx="3">
                  <c:v>17199.210000000003</c:v>
                </c:pt>
              </c:numCache>
            </c:numRef>
          </c:val>
          <c:smooth val="0"/>
          <c:extLst>
            <c:ext xmlns:c16="http://schemas.microsoft.com/office/drawing/2014/chart" uri="{C3380CC4-5D6E-409C-BE32-E72D297353CC}">
              <c16:uniqueId val="{00000007-B836-4A2A-93DC-53DFD4F32994}"/>
            </c:ext>
          </c:extLst>
        </c:ser>
        <c:dLbls>
          <c:showLegendKey val="0"/>
          <c:showVal val="0"/>
          <c:showCatName val="0"/>
          <c:showSerName val="0"/>
          <c:showPercent val="0"/>
          <c:showBubbleSize val="0"/>
        </c:dLbls>
        <c:marker val="1"/>
        <c:smooth val="0"/>
        <c:axId val="424252879"/>
        <c:axId val="424268719"/>
      </c:lineChart>
      <c:catAx>
        <c:axId val="424252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268719"/>
        <c:crosses val="autoZero"/>
        <c:auto val="1"/>
        <c:lblAlgn val="ctr"/>
        <c:lblOffset val="100"/>
        <c:noMultiLvlLbl val="0"/>
      </c:catAx>
      <c:valAx>
        <c:axId val="424268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25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504825</xdr:colOff>
      <xdr:row>20</xdr:row>
      <xdr:rowOff>66675</xdr:rowOff>
    </xdr:from>
    <xdr:to>
      <xdr:col>12</xdr:col>
      <xdr:colOff>666750</xdr:colOff>
      <xdr:row>34</xdr:row>
      <xdr:rowOff>142875</xdr:rowOff>
    </xdr:to>
    <xdr:graphicFrame macro="">
      <xdr:nvGraphicFramePr>
        <xdr:cNvPr id="24" name="Chart 23">
          <a:extLst>
            <a:ext uri="{FF2B5EF4-FFF2-40B4-BE49-F238E27FC236}">
              <a16:creationId xmlns:a16="http://schemas.microsoft.com/office/drawing/2014/main" id="{C1E488A3-75ED-AECB-CBC7-1D329CE44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371475</xdr:colOff>
      <xdr:row>0</xdr:row>
      <xdr:rowOff>0</xdr:rowOff>
    </xdr:from>
    <xdr:to>
      <xdr:col>19</xdr:col>
      <xdr:colOff>19050</xdr:colOff>
      <xdr:row>14</xdr:row>
      <xdr:rowOff>76200</xdr:rowOff>
    </xdr:to>
    <xdr:graphicFrame macro="">
      <xdr:nvGraphicFramePr>
        <xdr:cNvPr id="26" name="Chart 25">
          <a:extLst>
            <a:ext uri="{FF2B5EF4-FFF2-40B4-BE49-F238E27FC236}">
              <a16:creationId xmlns:a16="http://schemas.microsoft.com/office/drawing/2014/main" id="{CF95C47F-819B-7BE3-6EA3-644E6B4C3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14</xdr:row>
      <xdr:rowOff>95250</xdr:rowOff>
    </xdr:from>
    <xdr:to>
      <xdr:col>1</xdr:col>
      <xdr:colOff>512445</xdr:colOff>
      <xdr:row>27</xdr:row>
      <xdr:rowOff>142875</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801A7172-0867-EC99-A5E6-C73C99633E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76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552450</xdr:colOff>
      <xdr:row>14</xdr:row>
      <xdr:rowOff>85725</xdr:rowOff>
    </xdr:from>
    <xdr:to>
      <xdr:col>6</xdr:col>
      <xdr:colOff>365760</xdr:colOff>
      <xdr:row>27</xdr:row>
      <xdr:rowOff>133350</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38921A50-7BFF-CE6A-03B4-2FACB57907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05225" y="2752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504825</xdr:colOff>
      <xdr:row>14</xdr:row>
      <xdr:rowOff>95250</xdr:rowOff>
    </xdr:from>
    <xdr:to>
      <xdr:col>4</xdr:col>
      <xdr:colOff>17145</xdr:colOff>
      <xdr:row>27</xdr:row>
      <xdr:rowOff>142875</xdr:rowOff>
    </xdr:to>
    <mc:AlternateContent xmlns:mc="http://schemas.openxmlformats.org/markup-compatibility/2006" xmlns:a14="http://schemas.microsoft.com/office/drawing/2010/main">
      <mc:Choice Requires="a14">
        <xdr:graphicFrame macro="">
          <xdr:nvGraphicFramePr>
            <xdr:cNvPr id="29" name="Years (Date)">
              <a:extLst>
                <a:ext uri="{FF2B5EF4-FFF2-40B4-BE49-F238E27FC236}">
                  <a16:creationId xmlns:a16="http://schemas.microsoft.com/office/drawing/2014/main" id="{A32A2141-378C-8BDD-5DF4-F32A4839EB1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866900" y="276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642937</xdr:colOff>
      <xdr:row>1</xdr:row>
      <xdr:rowOff>19050</xdr:rowOff>
    </xdr:from>
    <xdr:to>
      <xdr:col>12</xdr:col>
      <xdr:colOff>176212</xdr:colOff>
      <xdr:row>15</xdr:row>
      <xdr:rowOff>95250</xdr:rowOff>
    </xdr:to>
    <xdr:graphicFrame macro="">
      <xdr:nvGraphicFramePr>
        <xdr:cNvPr id="30" name="Chart 29">
          <a:extLst>
            <a:ext uri="{FF2B5EF4-FFF2-40B4-BE49-F238E27FC236}">
              <a16:creationId xmlns:a16="http://schemas.microsoft.com/office/drawing/2014/main" id="{00AF3D76-64A3-E052-0E0D-3850FA367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534353</xdr:colOff>
      <xdr:row>2</xdr:row>
      <xdr:rowOff>100965</xdr:rowOff>
    </xdr:from>
    <xdr:to>
      <xdr:col>15</xdr:col>
      <xdr:colOff>24765</xdr:colOff>
      <xdr:row>15</xdr:row>
      <xdr:rowOff>148590</xdr:rowOff>
    </xdr:to>
    <xdr:graphicFrame macro="">
      <xdr:nvGraphicFramePr>
        <xdr:cNvPr id="5" name="Chart 4">
          <a:extLst>
            <a:ext uri="{FF2B5EF4-FFF2-40B4-BE49-F238E27FC236}">
              <a16:creationId xmlns:a16="http://schemas.microsoft.com/office/drawing/2014/main" id="{18D998E1-88D4-43CA-8F16-495636C42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191452</xdr:colOff>
      <xdr:row>16</xdr:row>
      <xdr:rowOff>87630</xdr:rowOff>
    </xdr:from>
    <xdr:to>
      <xdr:col>7</xdr:col>
      <xdr:colOff>380999</xdr:colOff>
      <xdr:row>25</xdr:row>
      <xdr:rowOff>163830</xdr:rowOff>
    </xdr:to>
    <xdr:graphicFrame macro="">
      <xdr:nvGraphicFramePr>
        <xdr:cNvPr id="6" name="Chart 5">
          <a:extLst>
            <a:ext uri="{FF2B5EF4-FFF2-40B4-BE49-F238E27FC236}">
              <a16:creationId xmlns:a16="http://schemas.microsoft.com/office/drawing/2014/main" id="{6E71205E-7CD2-4B7E-BB3C-5CEFC022F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194310</xdr:colOff>
      <xdr:row>2</xdr:row>
      <xdr:rowOff>100965</xdr:rowOff>
    </xdr:from>
    <xdr:to>
      <xdr:col>7</xdr:col>
      <xdr:colOff>368343</xdr:colOff>
      <xdr:row>15</xdr:row>
      <xdr:rowOff>148590</xdr:rowOff>
    </xdr:to>
    <xdr:graphicFrame macro="">
      <xdr:nvGraphicFramePr>
        <xdr:cNvPr id="7" name="Chart 6">
          <a:extLst>
            <a:ext uri="{FF2B5EF4-FFF2-40B4-BE49-F238E27FC236}">
              <a16:creationId xmlns:a16="http://schemas.microsoft.com/office/drawing/2014/main" id="{9C75DDA2-BB37-4710-BC23-6F474A399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426720</xdr:colOff>
      <xdr:row>16</xdr:row>
      <xdr:rowOff>120014</xdr:rowOff>
    </xdr:from>
    <xdr:to>
      <xdr:col>15</xdr:col>
      <xdr:colOff>30480</xdr:colOff>
      <xdr:row>25</xdr:row>
      <xdr:rowOff>121919</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22D55790-FB6C-4C19-B4C9-5297616E74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924800" y="3046094"/>
              <a:ext cx="1478280" cy="1678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148590</xdr:colOff>
      <xdr:row>16</xdr:row>
      <xdr:rowOff>118110</xdr:rowOff>
    </xdr:from>
    <xdr:to>
      <xdr:col>12</xdr:col>
      <xdr:colOff>312420</xdr:colOff>
      <xdr:row>25</xdr:row>
      <xdr:rowOff>135255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9DAB943B-C3D4-4877-9669-3FA14DFE437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96990" y="3044190"/>
              <a:ext cx="1413510" cy="169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16</xdr:row>
      <xdr:rowOff>116205</xdr:rowOff>
    </xdr:from>
    <xdr:to>
      <xdr:col>10</xdr:col>
      <xdr:colOff>30480</xdr:colOff>
      <xdr:row>25</xdr:row>
      <xdr:rowOff>137160</xdr:rowOff>
    </xdr:to>
    <mc:AlternateContent xmlns:mc="http://schemas.openxmlformats.org/markup-compatibility/2006">
      <mc:Choice xmlns:a14="http://schemas.microsoft.com/office/drawing/2010/main" Requires="a14">
        <xdr:graphicFrame macro="">
          <xdr:nvGraphicFramePr>
            <xdr:cNvPr id="10" name="Years (Date) 1">
              <a:extLst>
                <a:ext uri="{FF2B5EF4-FFF2-40B4-BE49-F238E27FC236}">
                  <a16:creationId xmlns:a16="http://schemas.microsoft.com/office/drawing/2014/main" id="{544DE0F7-B286-4B76-B419-B792303FB43D}"/>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4926330" y="3042285"/>
              <a:ext cx="1352550" cy="1697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0</xdr:row>
      <xdr:rowOff>28575</xdr:rowOff>
    </xdr:from>
    <xdr:to>
      <xdr:col>18</xdr:col>
      <xdr:colOff>85725</xdr:colOff>
      <xdr:row>1</xdr:row>
      <xdr:rowOff>133350</xdr:rowOff>
    </xdr:to>
    <xdr:sp macro="" textlink="">
      <xdr:nvSpPr>
        <xdr:cNvPr id="14" name="Rectangle: Rounded Corners 13">
          <a:extLst>
            <a:ext uri="{FF2B5EF4-FFF2-40B4-BE49-F238E27FC236}">
              <a16:creationId xmlns:a16="http://schemas.microsoft.com/office/drawing/2014/main" id="{FEF5CC13-6737-298C-CDD8-A19AEEA053C6}"/>
            </a:ext>
          </a:extLst>
        </xdr:cNvPr>
        <xdr:cNvSpPr/>
      </xdr:nvSpPr>
      <xdr:spPr>
        <a:xfrm>
          <a:off x="9525" y="28575"/>
          <a:ext cx="11049000" cy="295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a:solidFill>
                <a:schemeClr val="accent3">
                  <a:lumMod val="60000"/>
                  <a:lumOff val="40000"/>
                </a:schemeClr>
              </a:solidFill>
              <a:latin typeface="Algerian" panose="04020705040A02060702" pitchFamily="82" charset="0"/>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0.960372800924" createdVersion="6" refreshedVersion="6" minRefreshableVersion="3" recordCount="250" xr:uid="{FAAE16BE-085A-4FB2-B7CE-D03B8157AAD4}">
  <cacheSource type="worksheet">
    <worksheetSource name="table1"/>
  </cacheSource>
  <cacheFields count="17">
    <cacheField name="Transaction_ID" numFmtId="0">
      <sharedItems/>
    </cacheField>
    <cacheField name="Date" numFmtId="164">
      <sharedItems containsSemiMixedTypes="0" containsNonDate="0" containsDate="1" containsString="0" minDate="2024-04-11T00:00:00" maxDate="2025-04-12T00:00:00" count="162">
        <d v="2024-04-27T00:00:00"/>
        <d v="2024-05-20T00:00:00"/>
        <d v="2024-05-31T00:00:00"/>
        <d v="2024-06-17T00:00:00"/>
        <d v="2024-06-01T00:00:00"/>
        <d v="2024-06-06T00:00:00"/>
        <d v="2024-07-02T00:00:00"/>
        <d v="2024-07-03T00:00:00"/>
        <d v="2024-07-11T00:00:00"/>
        <d v="2024-07-23T00:00:00"/>
        <d v="2024-06-26T00:00:00"/>
        <d v="2024-04-26T00:00:00"/>
        <d v="2024-06-29T00:00:00"/>
        <d v="2024-08-09T00:00:00"/>
        <d v="2024-09-10T00:00:00"/>
        <d v="2024-08-28T00:00:00"/>
        <d v="2024-09-02T00:00:00"/>
        <d v="2024-07-08T00:00:00"/>
        <d v="2024-09-19T00:00:00"/>
        <d v="2024-11-23T00:00:00"/>
        <d v="2024-07-27T00:00:00"/>
        <d v="2024-10-16T00:00:00"/>
        <d v="2024-11-09T00:00:00"/>
        <d v="2024-09-29T00:00:00"/>
        <d v="2024-12-15T00:00:00"/>
        <d v="2025-01-13T00:00:00"/>
        <d v="2024-12-19T00:00:00"/>
        <d v="2024-12-29T00:00:00"/>
        <d v="2024-12-31T00:00:00"/>
        <d v="2025-01-04T00:00:00"/>
        <d v="2025-02-04T00:00:00"/>
        <d v="2025-02-22T00:00:00"/>
        <d v="2025-02-23T00:00:00"/>
        <d v="2025-03-10T00:00:00"/>
        <d v="2025-04-09T00:00:00"/>
        <d v="2024-04-28T00:00:00"/>
        <d v="2024-06-16T00:00:00"/>
        <d v="2024-07-01T00:00:00"/>
        <d v="2024-07-28T00:00:00"/>
        <d v="2024-07-30T00:00:00"/>
        <d v="2024-08-18T00:00:00"/>
        <d v="2024-08-24T00:00:00"/>
        <d v="2024-08-30T00:00:00"/>
        <d v="2024-09-03T00:00:00"/>
        <d v="2024-09-13T00:00:00"/>
        <d v="2024-04-21T00:00:00"/>
        <d v="2024-05-13T00:00:00"/>
        <d v="2024-09-16T00:00:00"/>
        <d v="2024-10-08T00:00:00"/>
        <d v="2024-10-18T00:00:00"/>
        <d v="2024-10-23T00:00:00"/>
        <d v="2024-05-16T00:00:00"/>
        <d v="2024-06-07T00:00:00"/>
        <d v="2024-11-17T00:00:00"/>
        <d v="2024-12-01T00:00:00"/>
        <d v="2024-12-09T00:00:00"/>
        <d v="2024-12-12T00:00:00"/>
        <d v="2024-12-22T00:00:00"/>
        <d v="2024-07-14T00:00:00"/>
        <d v="2025-01-03T00:00:00"/>
        <d v="2025-01-14T00:00:00"/>
        <d v="2025-01-29T00:00:00"/>
        <d v="2024-07-25T00:00:00"/>
        <d v="2024-08-05T00:00:00"/>
        <d v="2025-01-31T00:00:00"/>
        <d v="2025-02-16T00:00:00"/>
        <d v="2024-08-06T00:00:00"/>
        <d v="2024-09-28T00:00:00"/>
        <d v="2024-11-08T00:00:00"/>
        <d v="2024-11-27T00:00:00"/>
        <d v="2024-10-07T00:00:00"/>
        <d v="2024-12-18T00:00:00"/>
        <d v="2025-03-07T00:00:00"/>
        <d v="2025-03-30T00:00:00"/>
        <d v="2025-04-01T00:00:00"/>
        <d v="2025-04-11T00:00:00"/>
        <d v="2025-03-18T00:00:00"/>
        <d v="2024-12-20T00:00:00"/>
        <d v="2024-12-23T00:00:00"/>
        <d v="2024-12-28T00:00:00"/>
        <d v="2025-02-17T00:00:00"/>
        <d v="2025-02-24T00:00:00"/>
        <d v="2025-02-27T00:00:00"/>
        <d v="2025-03-02T00:00:00"/>
        <d v="2025-03-08T00:00:00"/>
        <d v="2025-03-21T00:00:00"/>
        <d v="2024-04-17T00:00:00"/>
        <d v="2024-04-18T00:00:00"/>
        <d v="2024-05-12T00:00:00"/>
        <d v="2024-05-18T00:00:00"/>
        <d v="2024-05-22T00:00:00"/>
        <d v="2024-05-23T00:00:00"/>
        <d v="2024-04-11T00:00:00"/>
        <d v="2024-04-14T00:00:00"/>
        <d v="2024-04-23T00:00:00"/>
        <d v="2024-05-29T00:00:00"/>
        <d v="2024-07-17T00:00:00"/>
        <d v="2024-09-06T00:00:00"/>
        <d v="2024-09-09T00:00:00"/>
        <d v="2024-05-26T00:00:00"/>
        <d v="2024-06-28T00:00:00"/>
        <d v="2024-08-13T00:00:00"/>
        <d v="2024-08-19T00:00:00"/>
        <d v="2024-09-24T00:00:00"/>
        <d v="2024-10-14T00:00:00"/>
        <d v="2024-10-21T00:00:00"/>
        <d v="2024-07-18T00:00:00"/>
        <d v="2024-09-12T00:00:00"/>
        <d v="2024-09-25T00:00:00"/>
        <d v="2024-11-12T00:00:00"/>
        <d v="2024-10-27T00:00:00"/>
        <d v="2024-11-07T00:00:00"/>
        <d v="2024-10-11T00:00:00"/>
        <d v="2024-11-11T00:00:00"/>
        <d v="2025-01-09T00:00:00"/>
        <d v="2025-01-11T00:00:00"/>
        <d v="2025-02-20T00:00:00"/>
        <d v="2025-04-02T00:00:00"/>
        <d v="2024-11-04T00:00:00"/>
        <d v="2024-12-10T00:00:00"/>
        <d v="2025-01-06T00:00:00"/>
        <d v="2025-02-13T00:00:00"/>
        <d v="2025-01-16T00:00:00"/>
        <d v="2025-04-08T00:00:00"/>
        <d v="2025-02-07T00:00:00"/>
        <d v="2025-02-19T00:00:00"/>
        <d v="2025-03-23T00:00:00"/>
        <d v="2024-05-15T00:00:00"/>
        <d v="2024-06-09T00:00:00"/>
        <d v="2024-07-09T00:00:00"/>
        <d v="2025-01-25T00:00:00"/>
        <d v="2025-03-27T00:00:00"/>
        <d v="2024-05-01T00:00:00"/>
        <d v="2024-05-04T00:00:00"/>
        <d v="2024-05-03T00:00:00"/>
        <d v="2024-06-25T00:00:00"/>
        <d v="2024-10-01T00:00:00"/>
        <d v="2024-11-21T00:00:00"/>
        <d v="2024-07-31T00:00:00"/>
        <d v="2024-09-15T00:00:00"/>
        <d v="2025-03-24T00:00:00"/>
        <d v="2024-12-03T00:00:00"/>
        <d v="2024-12-04T00:00:00"/>
        <d v="2025-01-26T00:00:00"/>
        <d v="2024-04-30T00:00:00"/>
        <d v="2025-01-19T00:00:00"/>
        <d v="2024-05-10T00:00:00"/>
        <d v="2025-02-08T00:00:00"/>
        <d v="2025-03-05T00:00:00"/>
        <d v="2024-05-28T00:00:00"/>
        <d v="2024-06-03T00:00:00"/>
        <d v="2024-08-11T00:00:00"/>
        <d v="2024-06-13T00:00:00"/>
        <d v="2024-07-24T00:00:00"/>
        <d v="2024-08-15T00:00:00"/>
        <d v="2024-08-22T00:00:00"/>
        <d v="2025-01-10T00:00:00"/>
        <d v="2024-10-24T00:00:00"/>
        <d v="2024-11-01T00:00:00"/>
        <d v="2024-11-26T00:00:00"/>
        <d v="2025-03-04T00:00:00"/>
        <d v="2025-03-29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Laptop"/>
        <s v="Coffee Maker"/>
        <s v="Blender"/>
        <s v="Keyboard"/>
        <s v="Headphones"/>
        <s v="Bookshelf"/>
        <s v="Smartphone"/>
        <s v="Monitor"/>
        <s v="Desk"/>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North"/>
        <s v="West"/>
        <s v="South"/>
        <s v="Central"/>
        <s v="East"/>
      </sharedItems>
    </cacheField>
    <cacheField name="Customer_Segment" numFmtId="0">
      <sharedItems count="3">
        <s v="Standard"/>
        <s v="Premium"/>
        <s v="Basic"/>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732294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230"/>
    <x v="0"/>
    <s v="CUST027"/>
    <s v="George Adams"/>
    <s v="P001"/>
    <x v="0"/>
    <x v="0"/>
    <n v="1"/>
    <n v="899.99"/>
    <s v="Debit Card"/>
    <x v="0"/>
    <x v="0"/>
    <d v="2022-12-25T00:00:00"/>
    <n v="899.99"/>
  </r>
  <r>
    <s v="TRX0041"/>
    <x v="1"/>
    <s v="CUST021"/>
    <s v="Kevin Scott"/>
    <s v="P001"/>
    <x v="0"/>
    <x v="0"/>
    <n v="1"/>
    <n v="899.99"/>
    <s v="Credit Card"/>
    <x v="1"/>
    <x v="1"/>
    <d v="2022-01-17T00:00:00"/>
    <n v="899.99"/>
  </r>
  <r>
    <s v="TRX0042"/>
    <x v="2"/>
    <s v="CUST019"/>
    <s v="Daniel King"/>
    <s v="P004"/>
    <x v="1"/>
    <x v="1"/>
    <n v="1"/>
    <n v="79.989999999999995"/>
    <s v="Cash"/>
    <x v="0"/>
    <x v="0"/>
    <d v="2022-12-22T00:00:00"/>
    <n v="79.989999999999995"/>
  </r>
  <r>
    <s v="TRX0061"/>
    <x v="3"/>
    <s v="CUST028"/>
    <s v="Betty Campbell"/>
    <s v="P005"/>
    <x v="2"/>
    <x v="1"/>
    <n v="1"/>
    <n v="59.99"/>
    <s v="Debit Card"/>
    <x v="1"/>
    <x v="1"/>
    <d v="2023-09-21T00:00:00"/>
    <n v="59.99"/>
  </r>
  <r>
    <s v="TRX0117"/>
    <x v="4"/>
    <s v="CUST017"/>
    <s v="Charles Allen"/>
    <s v="P010"/>
    <x v="3"/>
    <x v="0"/>
    <n v="1"/>
    <n v="89.99"/>
    <s v="Cash"/>
    <x v="0"/>
    <x v="2"/>
    <d v="2023-08-03T00:00:00"/>
    <n v="89.99"/>
  </r>
  <r>
    <s v="TRX0121"/>
    <x v="5"/>
    <s v="CUST028"/>
    <s v="Betty Campbell"/>
    <s v="P010"/>
    <x v="3"/>
    <x v="0"/>
    <n v="1"/>
    <n v="89.99"/>
    <s v="Credit Card"/>
    <x v="2"/>
    <x v="0"/>
    <d v="2022-01-21T00:00:00"/>
    <n v="89.99"/>
  </r>
  <r>
    <s v="TRX0192"/>
    <x v="6"/>
    <s v="CUST017"/>
    <s v="Charles Allen"/>
    <s v="P010"/>
    <x v="3"/>
    <x v="0"/>
    <n v="1"/>
    <n v="89.99"/>
    <s v="PayPal"/>
    <x v="1"/>
    <x v="0"/>
    <d v="2022-08-29T00:00:00"/>
    <n v="89.99"/>
  </r>
  <r>
    <s v="TRX0052"/>
    <x v="7"/>
    <s v="CUST022"/>
    <s v="Susan Green"/>
    <s v="P010"/>
    <x v="3"/>
    <x v="0"/>
    <n v="1"/>
    <n v="89.99"/>
    <s v="Cash"/>
    <x v="2"/>
    <x v="0"/>
    <d v="2022-02-19T00:00:00"/>
    <n v="89.99"/>
  </r>
  <r>
    <s v="TRX0018"/>
    <x v="8"/>
    <s v="CUST013"/>
    <s v="Joseph Jackson"/>
    <s v="P003"/>
    <x v="4"/>
    <x v="0"/>
    <n v="1"/>
    <n v="149.99"/>
    <s v="Cash"/>
    <x v="3"/>
    <x v="0"/>
    <d v="2022-12-14T00:00:00"/>
    <n v="149.99"/>
  </r>
  <r>
    <s v="TRX0162"/>
    <x v="9"/>
    <s v="CUST040"/>
    <s v="Sharon Butler"/>
    <s v="P001"/>
    <x v="0"/>
    <x v="0"/>
    <n v="1"/>
    <n v="899.99"/>
    <s v="Cash"/>
    <x v="3"/>
    <x v="0"/>
    <d v="2023-09-10T00:00:00"/>
    <n v="899.99"/>
  </r>
  <r>
    <s v="TRX0078"/>
    <x v="10"/>
    <s v="CUST021"/>
    <s v="Kevin Scott"/>
    <s v="P004"/>
    <x v="1"/>
    <x v="1"/>
    <n v="1"/>
    <n v="79.989999999999995"/>
    <s v="PayPal"/>
    <x v="3"/>
    <x v="1"/>
    <d v="2024-03-01T00:00:00"/>
    <n v="79.989999999999995"/>
  </r>
  <r>
    <s v="TRX0138"/>
    <x v="11"/>
    <s v="CUST022"/>
    <s v="Susan Green"/>
    <s v="P008"/>
    <x v="5"/>
    <x v="2"/>
    <n v="1"/>
    <n v="149.99"/>
    <s v="Credit Card"/>
    <x v="1"/>
    <x v="0"/>
    <d v="2023-06-26T00:00:00"/>
    <n v="149.99"/>
  </r>
  <r>
    <s v="TRX0127"/>
    <x v="12"/>
    <s v="CUST030"/>
    <s v="Helen Roberts"/>
    <s v="P008"/>
    <x v="5"/>
    <x v="2"/>
    <n v="1"/>
    <n v="149.99"/>
    <s v="PayPal"/>
    <x v="4"/>
    <x v="2"/>
    <d v="2022-10-17T00:00:00"/>
    <n v="149.99"/>
  </r>
  <r>
    <s v="TRX0101"/>
    <x v="13"/>
    <s v="CUST010"/>
    <s v="Maria Garcia"/>
    <s v="P010"/>
    <x v="3"/>
    <x v="0"/>
    <n v="1"/>
    <n v="89.99"/>
    <s v="Credit Card"/>
    <x v="0"/>
    <x v="0"/>
    <d v="2024-04-11T00:00:00"/>
    <n v="89.99"/>
  </r>
  <r>
    <s v="TRX0161"/>
    <x v="14"/>
    <s v="CUST017"/>
    <s v="Charles Allen"/>
    <s v="P004"/>
    <x v="1"/>
    <x v="1"/>
    <n v="1"/>
    <n v="79.989999999999995"/>
    <s v="Cash"/>
    <x v="1"/>
    <x v="2"/>
    <d v="2022-05-12T00:00:00"/>
    <n v="79.989999999999995"/>
  </r>
  <r>
    <s v="TRX0058"/>
    <x v="15"/>
    <s v="CUST047"/>
    <s v="Gerald Murphy"/>
    <s v="P002"/>
    <x v="6"/>
    <x v="0"/>
    <n v="1"/>
    <n v="699.99"/>
    <s v="Cash"/>
    <x v="3"/>
    <x v="1"/>
    <d v="2021-10-28T00:00:00"/>
    <n v="699.99"/>
  </r>
  <r>
    <s v="TRX0099"/>
    <x v="16"/>
    <s v="CUST034"/>
    <s v="Carol Evans"/>
    <s v="P009"/>
    <x v="7"/>
    <x v="0"/>
    <n v="1"/>
    <n v="249.99"/>
    <s v="Credit Card"/>
    <x v="1"/>
    <x v="1"/>
    <d v="2022-05-04T00:00:00"/>
    <n v="249.99"/>
  </r>
  <r>
    <s v="TRX0086"/>
    <x v="17"/>
    <s v="CUST020"/>
    <s v="Margaret Wright"/>
    <s v="P008"/>
    <x v="5"/>
    <x v="2"/>
    <n v="1"/>
    <n v="149.99"/>
    <s v="PayPal"/>
    <x v="0"/>
    <x v="2"/>
    <d v="2021-08-13T00:00:00"/>
    <n v="149.99"/>
  </r>
  <r>
    <s v="TRX0074"/>
    <x v="16"/>
    <s v="CUST023"/>
    <s v="Paul Baker"/>
    <s v="P009"/>
    <x v="7"/>
    <x v="0"/>
    <n v="1"/>
    <n v="249.99"/>
    <s v="Debit Card"/>
    <x v="0"/>
    <x v="1"/>
    <d v="2024-02-10T00:00:00"/>
    <n v="249.99"/>
  </r>
  <r>
    <s v="TRX0141"/>
    <x v="8"/>
    <s v="CUST033"/>
    <s v="Frank Torres"/>
    <s v="P007"/>
    <x v="8"/>
    <x v="2"/>
    <n v="1"/>
    <n v="299.99"/>
    <s v="Credit Card"/>
    <x v="0"/>
    <x v="1"/>
    <d v="2022-11-26T00:00:00"/>
    <n v="299.99"/>
  </r>
  <r>
    <s v="TRX0111"/>
    <x v="18"/>
    <s v="CUST011"/>
    <s v="William White"/>
    <s v="P003"/>
    <x v="4"/>
    <x v="0"/>
    <n v="1"/>
    <n v="149.99"/>
    <s v="PayPal"/>
    <x v="4"/>
    <x v="0"/>
    <d v="2021-10-13T00:00:00"/>
    <n v="149.99"/>
  </r>
  <r>
    <s v="TRX0145"/>
    <x v="19"/>
    <s v="CUST033"/>
    <s v="Frank Torres"/>
    <s v="P005"/>
    <x v="2"/>
    <x v="1"/>
    <n v="1"/>
    <n v="59.99"/>
    <s v="Debit Card"/>
    <x v="1"/>
    <x v="0"/>
    <d v="2021-12-30T00:00:00"/>
    <n v="59.99"/>
  </r>
  <r>
    <s v="TRX0228"/>
    <x v="20"/>
    <s v="CUST019"/>
    <s v="Daniel King"/>
    <s v="P007"/>
    <x v="8"/>
    <x v="2"/>
    <n v="1"/>
    <n v="299.99"/>
    <s v="Cash"/>
    <x v="2"/>
    <x v="2"/>
    <d v="2023-02-25T00:00:00"/>
    <n v="299.99"/>
  </r>
  <r>
    <s v="TRX0189"/>
    <x v="21"/>
    <s v="CUST040"/>
    <s v="Sharon Butler"/>
    <s v="P001"/>
    <x v="0"/>
    <x v="0"/>
    <n v="1"/>
    <n v="899.99"/>
    <s v="Credit Card"/>
    <x v="4"/>
    <x v="0"/>
    <d v="2024-03-18T00:00:00"/>
    <n v="899.99"/>
  </r>
  <r>
    <s v="TRX0090"/>
    <x v="22"/>
    <s v="CUST020"/>
    <s v="Margaret Wright"/>
    <s v="P009"/>
    <x v="7"/>
    <x v="0"/>
    <n v="1"/>
    <n v="249.99"/>
    <s v="Credit Card"/>
    <x v="0"/>
    <x v="1"/>
    <d v="2022-09-24T00:00:00"/>
    <n v="249.99"/>
  </r>
  <r>
    <s v="TRX0129"/>
    <x v="23"/>
    <s v="CUST015"/>
    <s v="Richard Lee"/>
    <s v="P006"/>
    <x v="9"/>
    <x v="2"/>
    <n v="1"/>
    <n v="199.99"/>
    <s v="Debit Card"/>
    <x v="4"/>
    <x v="0"/>
    <d v="2023-01-27T00:00:00"/>
    <n v="199.99"/>
  </r>
  <r>
    <s v="TRX0081"/>
    <x v="24"/>
    <s v="CUST007"/>
    <s v="David Martinez"/>
    <s v="P008"/>
    <x v="5"/>
    <x v="2"/>
    <n v="1"/>
    <n v="149.99"/>
    <s v="Debit Card"/>
    <x v="4"/>
    <x v="0"/>
    <d v="2023-10-01T00:00:00"/>
    <n v="149.99"/>
  </r>
  <r>
    <s v="TRX0102"/>
    <x v="25"/>
    <s v="CUST045"/>
    <s v="Douglas Watson"/>
    <s v="P004"/>
    <x v="1"/>
    <x v="1"/>
    <n v="1"/>
    <n v="79.989999999999995"/>
    <s v="Credit Card"/>
    <x v="2"/>
    <x v="2"/>
    <d v="2024-01-31T00:00:00"/>
    <n v="79.989999999999995"/>
  </r>
  <r>
    <s v="TRX0183"/>
    <x v="26"/>
    <s v="CUST007"/>
    <s v="David Martinez"/>
    <s v="P010"/>
    <x v="3"/>
    <x v="0"/>
    <n v="1"/>
    <n v="89.99"/>
    <s v="Debit Card"/>
    <x v="3"/>
    <x v="0"/>
    <d v="2022-07-18T00:00:00"/>
    <n v="89.99"/>
  </r>
  <r>
    <s v="TRX0022"/>
    <x v="25"/>
    <s v="CUST025"/>
    <s v="Mark Carter"/>
    <s v="P007"/>
    <x v="8"/>
    <x v="2"/>
    <n v="1"/>
    <n v="299.99"/>
    <s v="Credit Card"/>
    <x v="0"/>
    <x v="2"/>
    <d v="2021-08-28T00:00:00"/>
    <n v="299.99"/>
  </r>
  <r>
    <s v="TRX0156"/>
    <x v="27"/>
    <s v="CUST009"/>
    <s v="Robert Thomas"/>
    <s v="P010"/>
    <x v="3"/>
    <x v="0"/>
    <n v="1"/>
    <n v="89.99"/>
    <s v="Credit Card"/>
    <x v="2"/>
    <x v="1"/>
    <d v="2022-01-30T00:00:00"/>
    <n v="89.99"/>
  </r>
  <r>
    <s v="TRX0207"/>
    <x v="28"/>
    <s v="CUST025"/>
    <s v="Mark Carter"/>
    <s v="P001"/>
    <x v="0"/>
    <x v="0"/>
    <n v="1"/>
    <n v="899.99"/>
    <s v="PayPal"/>
    <x v="0"/>
    <x v="1"/>
    <d v="2023-05-04T00:00:00"/>
    <n v="899.99"/>
  </r>
  <r>
    <s v="TRX0026"/>
    <x v="29"/>
    <s v="CUST037"/>
    <s v="Arthur Edwards"/>
    <s v="P001"/>
    <x v="0"/>
    <x v="0"/>
    <n v="1"/>
    <n v="899.99"/>
    <s v="PayPal"/>
    <x v="0"/>
    <x v="0"/>
    <d v="2022-07-10T00:00:00"/>
    <n v="899.99"/>
  </r>
  <r>
    <s v="TRX0219"/>
    <x v="30"/>
    <s v="CUST037"/>
    <s v="Arthur Edwards"/>
    <s v="P005"/>
    <x v="2"/>
    <x v="1"/>
    <n v="1"/>
    <n v="59.99"/>
    <s v="Debit Card"/>
    <x v="3"/>
    <x v="0"/>
    <d v="2023-04-29T00:00:00"/>
    <n v="59.99"/>
  </r>
  <r>
    <s v="TRX0151"/>
    <x v="31"/>
    <s v="CUST040"/>
    <s v="Sharon Butler"/>
    <s v="P002"/>
    <x v="6"/>
    <x v="0"/>
    <n v="1"/>
    <n v="699.99"/>
    <s v="PayPal"/>
    <x v="1"/>
    <x v="2"/>
    <d v="2023-01-08T00:00:00"/>
    <n v="699.99"/>
  </r>
  <r>
    <s v="TRX0047"/>
    <x v="32"/>
    <s v="CUST042"/>
    <s v="Ruth Brooks"/>
    <s v="P002"/>
    <x v="6"/>
    <x v="0"/>
    <n v="1"/>
    <n v="699.99"/>
    <s v="Cash"/>
    <x v="0"/>
    <x v="1"/>
    <d v="2022-01-22T00:00:00"/>
    <n v="699.99"/>
  </r>
  <r>
    <s v="TRX0038"/>
    <x v="33"/>
    <s v="CUST035"/>
    <s v="Harry Morgan"/>
    <s v="P009"/>
    <x v="7"/>
    <x v="0"/>
    <n v="1"/>
    <n v="249.99"/>
    <s v="Cash"/>
    <x v="0"/>
    <x v="0"/>
    <d v="2023-07-10T00:00:00"/>
    <n v="249.99"/>
  </r>
  <r>
    <s v="TRX0116"/>
    <x v="34"/>
    <s v="CUST009"/>
    <s v="Robert Thomas"/>
    <s v="P010"/>
    <x v="3"/>
    <x v="0"/>
    <n v="1"/>
    <n v="89.99"/>
    <s v="Debit Card"/>
    <x v="4"/>
    <x v="2"/>
    <d v="2024-02-24T00:00:00"/>
    <n v="89.99"/>
  </r>
  <r>
    <s v="TRX0134"/>
    <x v="35"/>
    <s v="CUST010"/>
    <s v="Maria Garcia"/>
    <s v="P002"/>
    <x v="6"/>
    <x v="0"/>
    <n v="2"/>
    <n v="699.99"/>
    <s v="Cash"/>
    <x v="0"/>
    <x v="2"/>
    <d v="2022-08-08T00:00:00"/>
    <n v="1399.98"/>
  </r>
  <r>
    <s v="TRX0115"/>
    <x v="36"/>
    <s v="CUST012"/>
    <s v="Patricia Moore"/>
    <s v="P010"/>
    <x v="3"/>
    <x v="0"/>
    <n v="2"/>
    <n v="89.99"/>
    <s v="Credit Card"/>
    <x v="2"/>
    <x v="1"/>
    <d v="2021-10-02T00:00:00"/>
    <n v="179.98"/>
  </r>
  <r>
    <s v="TRX0007"/>
    <x v="10"/>
    <s v="CUST009"/>
    <s v="Robert Thomas"/>
    <s v="P010"/>
    <x v="3"/>
    <x v="0"/>
    <n v="2"/>
    <n v="89.99"/>
    <s v="Cash"/>
    <x v="1"/>
    <x v="2"/>
    <d v="2021-08-30T00:00:00"/>
    <n v="179.98"/>
  </r>
  <r>
    <s v="TRX0096"/>
    <x v="37"/>
    <s v="CUST002"/>
    <s v="Emma Wilson"/>
    <s v="P010"/>
    <x v="3"/>
    <x v="0"/>
    <n v="2"/>
    <n v="89.99"/>
    <s v="PayPal"/>
    <x v="3"/>
    <x v="1"/>
    <d v="2023-12-15T00:00:00"/>
    <n v="179.98"/>
  </r>
  <r>
    <s v="TRX0113"/>
    <x v="17"/>
    <s v="CUST003"/>
    <s v="Michael Brown"/>
    <s v="P002"/>
    <x v="6"/>
    <x v="0"/>
    <n v="2"/>
    <n v="699.99"/>
    <s v="PayPal"/>
    <x v="4"/>
    <x v="1"/>
    <d v="2024-04-07T00:00:00"/>
    <n v="1399.98"/>
  </r>
  <r>
    <s v="TRX0080"/>
    <x v="20"/>
    <s v="CUST018"/>
    <s v="Barbara Young"/>
    <s v="P009"/>
    <x v="7"/>
    <x v="0"/>
    <n v="2"/>
    <n v="249.99"/>
    <s v="Cash"/>
    <x v="0"/>
    <x v="1"/>
    <d v="2023-08-26T00:00:00"/>
    <n v="499.98"/>
  </r>
  <r>
    <s v="TRX0157"/>
    <x v="38"/>
    <s v="CUST025"/>
    <s v="Mark Carter"/>
    <s v="P010"/>
    <x v="3"/>
    <x v="0"/>
    <n v="2"/>
    <n v="89.99"/>
    <s v="PayPal"/>
    <x v="2"/>
    <x v="2"/>
    <d v="2023-02-19T00:00:00"/>
    <n v="179.98"/>
  </r>
  <r>
    <s v="TRX0217"/>
    <x v="39"/>
    <s v="CUST025"/>
    <s v="Mark Carter"/>
    <s v="P002"/>
    <x v="6"/>
    <x v="0"/>
    <n v="2"/>
    <n v="699.99"/>
    <s v="Credit Card"/>
    <x v="0"/>
    <x v="1"/>
    <d v="2023-03-14T00:00:00"/>
    <n v="1399.98"/>
  </r>
  <r>
    <s v="TRX0140"/>
    <x v="40"/>
    <s v="CUST025"/>
    <s v="Mark Carter"/>
    <s v="P010"/>
    <x v="3"/>
    <x v="0"/>
    <n v="2"/>
    <n v="89.99"/>
    <s v="Cash"/>
    <x v="4"/>
    <x v="1"/>
    <d v="2023-02-15T00:00:00"/>
    <n v="179.98"/>
  </r>
  <r>
    <s v="TRX0037"/>
    <x v="41"/>
    <s v="CUST035"/>
    <s v="Harry Morgan"/>
    <s v="P009"/>
    <x v="7"/>
    <x v="0"/>
    <n v="2"/>
    <n v="249.99"/>
    <s v="Cash"/>
    <x v="2"/>
    <x v="0"/>
    <d v="2022-01-11T00:00:00"/>
    <n v="499.98"/>
  </r>
  <r>
    <s v="TRX0248"/>
    <x v="42"/>
    <s v="CUST032"/>
    <s v="Sandra Phillips"/>
    <s v="P002"/>
    <x v="6"/>
    <x v="0"/>
    <n v="2"/>
    <n v="699.99"/>
    <s v="Credit Card"/>
    <x v="0"/>
    <x v="1"/>
    <d v="2021-08-13T00:00:00"/>
    <n v="1399.98"/>
  </r>
  <r>
    <s v="TRX0225"/>
    <x v="43"/>
    <s v="CUST039"/>
    <s v="Lawrence Reed"/>
    <s v="P002"/>
    <x v="6"/>
    <x v="0"/>
    <n v="2"/>
    <n v="699.99"/>
    <s v="Debit Card"/>
    <x v="3"/>
    <x v="1"/>
    <d v="2022-11-05T00:00:00"/>
    <n v="1399.98"/>
  </r>
  <r>
    <s v="TRX0211"/>
    <x v="44"/>
    <s v="CUST046"/>
    <s v="Kathleen Bennett"/>
    <s v="P010"/>
    <x v="3"/>
    <x v="0"/>
    <n v="2"/>
    <n v="89.99"/>
    <s v="Credit Card"/>
    <x v="2"/>
    <x v="1"/>
    <d v="2022-03-21T00:00:00"/>
    <n v="179.98"/>
  </r>
  <r>
    <s v="TRX0092"/>
    <x v="45"/>
    <s v="CUST024"/>
    <s v="Dorothy Nelson"/>
    <s v="P005"/>
    <x v="2"/>
    <x v="1"/>
    <n v="2"/>
    <n v="59.99"/>
    <s v="Cash"/>
    <x v="1"/>
    <x v="0"/>
    <d v="2022-07-04T00:00:00"/>
    <n v="119.98"/>
  </r>
  <r>
    <s v="TRX0063"/>
    <x v="46"/>
    <s v="CUST030"/>
    <s v="Helen Roberts"/>
    <s v="P005"/>
    <x v="2"/>
    <x v="1"/>
    <n v="2"/>
    <n v="59.99"/>
    <s v="Debit Card"/>
    <x v="3"/>
    <x v="0"/>
    <d v="2023-10-15T00:00:00"/>
    <n v="119.98"/>
  </r>
  <r>
    <s v="TRX0195"/>
    <x v="47"/>
    <s v="CUST026"/>
    <s v="Karen Hill"/>
    <s v="P009"/>
    <x v="7"/>
    <x v="0"/>
    <n v="2"/>
    <n v="249.99"/>
    <s v="PayPal"/>
    <x v="2"/>
    <x v="2"/>
    <d v="2023-03-08T00:00:00"/>
    <n v="499.98"/>
  </r>
  <r>
    <s v="TRX0128"/>
    <x v="4"/>
    <s v="CUST040"/>
    <s v="Sharon Butler"/>
    <s v="P005"/>
    <x v="2"/>
    <x v="1"/>
    <n v="2"/>
    <n v="59.99"/>
    <s v="Cash"/>
    <x v="1"/>
    <x v="2"/>
    <d v="2024-04-08T00:00:00"/>
    <n v="119.98"/>
  </r>
  <r>
    <s v="TRX0055"/>
    <x v="48"/>
    <s v="CUST016"/>
    <s v="Elizabeth Hall"/>
    <s v="P002"/>
    <x v="6"/>
    <x v="0"/>
    <n v="2"/>
    <n v="699.99"/>
    <s v="Debit Card"/>
    <x v="4"/>
    <x v="1"/>
    <d v="2023-12-14T00:00:00"/>
    <n v="1399.98"/>
  </r>
  <r>
    <s v="TRX0190"/>
    <x v="49"/>
    <s v="CUST039"/>
    <s v="Lawrence Reed"/>
    <s v="P003"/>
    <x v="4"/>
    <x v="0"/>
    <n v="2"/>
    <n v="149.99"/>
    <s v="Credit Card"/>
    <x v="1"/>
    <x v="2"/>
    <d v="2022-12-21T00:00:00"/>
    <n v="299.98"/>
  </r>
  <r>
    <s v="TRX0095"/>
    <x v="50"/>
    <s v="CUST046"/>
    <s v="Kathleen Bennett"/>
    <s v="P003"/>
    <x v="4"/>
    <x v="0"/>
    <n v="2"/>
    <n v="149.99"/>
    <s v="PayPal"/>
    <x v="3"/>
    <x v="2"/>
    <d v="2021-10-04T00:00:00"/>
    <n v="299.98"/>
  </r>
  <r>
    <s v="TRX0194"/>
    <x v="51"/>
    <s v="CUST006"/>
    <s v="Lisa Anderson"/>
    <s v="P008"/>
    <x v="5"/>
    <x v="2"/>
    <n v="2"/>
    <n v="149.99"/>
    <s v="Credit Card"/>
    <x v="1"/>
    <x v="2"/>
    <d v="2022-09-19T00:00:00"/>
    <n v="299.98"/>
  </r>
  <r>
    <s v="TRX0009"/>
    <x v="50"/>
    <s v="CUST004"/>
    <s v="Sarah Davis"/>
    <s v="P002"/>
    <x v="6"/>
    <x v="0"/>
    <n v="2"/>
    <n v="699.99"/>
    <s v="Cash"/>
    <x v="3"/>
    <x v="2"/>
    <d v="2023-03-07T00:00:00"/>
    <n v="1399.98"/>
  </r>
  <r>
    <s v="TRX0220"/>
    <x v="52"/>
    <s v="CUST003"/>
    <s v="Michael Brown"/>
    <s v="P008"/>
    <x v="5"/>
    <x v="2"/>
    <n v="2"/>
    <n v="149.99"/>
    <s v="Cash"/>
    <x v="4"/>
    <x v="1"/>
    <d v="2022-03-25T00:00:00"/>
    <n v="299.98"/>
  </r>
  <r>
    <s v="TRX0033"/>
    <x v="53"/>
    <s v="CUST025"/>
    <s v="Mark Carter"/>
    <s v="P002"/>
    <x v="6"/>
    <x v="0"/>
    <n v="2"/>
    <n v="699.99"/>
    <s v="PayPal"/>
    <x v="1"/>
    <x v="0"/>
    <d v="2022-07-28T00:00:00"/>
    <n v="1399.98"/>
  </r>
  <r>
    <s v="TRX0133"/>
    <x v="54"/>
    <s v="CUST013"/>
    <s v="Joseph Jackson"/>
    <s v="P003"/>
    <x v="4"/>
    <x v="0"/>
    <n v="2"/>
    <n v="149.99"/>
    <s v="Cash"/>
    <x v="2"/>
    <x v="1"/>
    <d v="2021-10-06T00:00:00"/>
    <n v="299.98"/>
  </r>
  <r>
    <s v="TRX0180"/>
    <x v="55"/>
    <s v="CUST036"/>
    <s v="Nancy Collins"/>
    <s v="P009"/>
    <x v="7"/>
    <x v="0"/>
    <n v="2"/>
    <n v="249.99"/>
    <s v="Credit Card"/>
    <x v="3"/>
    <x v="1"/>
    <d v="2021-07-19T00:00:00"/>
    <n v="499.98"/>
  </r>
  <r>
    <s v="TRX0032"/>
    <x v="56"/>
    <s v="CUST041"/>
    <s v="Peter Richardson"/>
    <s v="P001"/>
    <x v="0"/>
    <x v="0"/>
    <n v="2"/>
    <n v="899.99"/>
    <s v="Cash"/>
    <x v="0"/>
    <x v="2"/>
    <d v="2021-07-29T00:00:00"/>
    <n v="1799.98"/>
  </r>
  <r>
    <s v="TRX0150"/>
    <x v="3"/>
    <s v="CUST008"/>
    <s v="Jennifer Taylor"/>
    <s v="P007"/>
    <x v="8"/>
    <x v="2"/>
    <n v="2"/>
    <n v="299.99"/>
    <s v="Debit Card"/>
    <x v="4"/>
    <x v="0"/>
    <d v="2023-11-23T00:00:00"/>
    <n v="599.98"/>
  </r>
  <r>
    <s v="TRX0164"/>
    <x v="57"/>
    <s v="CUST014"/>
    <s v="Linda Martin"/>
    <s v="P003"/>
    <x v="4"/>
    <x v="0"/>
    <n v="2"/>
    <n v="149.99"/>
    <s v="Debit Card"/>
    <x v="1"/>
    <x v="1"/>
    <d v="2023-12-20T00:00:00"/>
    <n v="299.98"/>
  </r>
  <r>
    <s v="TRX0097"/>
    <x v="58"/>
    <s v="CUST033"/>
    <s v="Frank Torres"/>
    <s v="P006"/>
    <x v="9"/>
    <x v="2"/>
    <n v="2"/>
    <n v="199.99"/>
    <s v="Cash"/>
    <x v="0"/>
    <x v="2"/>
    <d v="2021-12-11T00:00:00"/>
    <n v="399.98"/>
  </r>
  <r>
    <s v="TRX0056"/>
    <x v="59"/>
    <s v="CUST019"/>
    <s v="Daniel King"/>
    <s v="P010"/>
    <x v="3"/>
    <x v="0"/>
    <n v="2"/>
    <n v="89.99"/>
    <s v="Credit Card"/>
    <x v="2"/>
    <x v="1"/>
    <d v="2022-01-03T00:00:00"/>
    <n v="179.98"/>
  </r>
  <r>
    <s v="TRX0107"/>
    <x v="60"/>
    <s v="CUST030"/>
    <s v="Helen Roberts"/>
    <s v="P003"/>
    <x v="4"/>
    <x v="0"/>
    <n v="2"/>
    <n v="149.99"/>
    <s v="Cash"/>
    <x v="0"/>
    <x v="0"/>
    <d v="2022-12-18T00:00:00"/>
    <n v="299.98"/>
  </r>
  <r>
    <s v="TRX0188"/>
    <x v="61"/>
    <s v="CUST045"/>
    <s v="Douglas Watson"/>
    <s v="P002"/>
    <x v="6"/>
    <x v="0"/>
    <n v="2"/>
    <n v="699.99"/>
    <s v="Debit Card"/>
    <x v="3"/>
    <x v="1"/>
    <d v="2022-04-30T00:00:00"/>
    <n v="1399.98"/>
  </r>
  <r>
    <s v="TRX0006"/>
    <x v="62"/>
    <s v="CUST007"/>
    <s v="David Martinez"/>
    <s v="P005"/>
    <x v="2"/>
    <x v="1"/>
    <n v="2"/>
    <n v="59.99"/>
    <s v="Cash"/>
    <x v="0"/>
    <x v="0"/>
    <d v="2023-08-14T00:00:00"/>
    <n v="119.98"/>
  </r>
  <r>
    <s v="TRX0065"/>
    <x v="63"/>
    <s v="CUST016"/>
    <s v="Elizabeth Hall"/>
    <s v="P008"/>
    <x v="5"/>
    <x v="2"/>
    <n v="2"/>
    <n v="149.99"/>
    <s v="Credit Card"/>
    <x v="1"/>
    <x v="2"/>
    <d v="2021-12-12T00:00:00"/>
    <n v="299.98"/>
  </r>
  <r>
    <s v="TRX0069"/>
    <x v="64"/>
    <s v="CUST029"/>
    <s v="Edward Mitchell"/>
    <s v="P010"/>
    <x v="3"/>
    <x v="0"/>
    <n v="2"/>
    <n v="89.99"/>
    <s v="Debit Card"/>
    <x v="2"/>
    <x v="2"/>
    <d v="2022-08-04T00:00:00"/>
    <n v="179.98"/>
  </r>
  <r>
    <s v="TRX0196"/>
    <x v="65"/>
    <s v="CUST023"/>
    <s v="Paul Baker"/>
    <s v="P010"/>
    <x v="3"/>
    <x v="0"/>
    <n v="2"/>
    <n v="89.99"/>
    <s v="PayPal"/>
    <x v="3"/>
    <x v="2"/>
    <d v="2023-11-27T00:00:00"/>
    <n v="179.98"/>
  </r>
  <r>
    <s v="TRX0176"/>
    <x v="66"/>
    <s v="CUST044"/>
    <s v="Cynthia Price"/>
    <s v="P008"/>
    <x v="5"/>
    <x v="2"/>
    <n v="2"/>
    <n v="149.99"/>
    <s v="Debit Card"/>
    <x v="4"/>
    <x v="0"/>
    <d v="2022-04-16T00:00:00"/>
    <n v="299.98"/>
  </r>
  <r>
    <s v="TRX0181"/>
    <x v="67"/>
    <s v="CUST012"/>
    <s v="Patricia Moore"/>
    <s v="P007"/>
    <x v="8"/>
    <x v="2"/>
    <n v="2"/>
    <n v="299.99"/>
    <s v="Debit Card"/>
    <x v="3"/>
    <x v="2"/>
    <d v="2022-01-08T00:00:00"/>
    <n v="599.98"/>
  </r>
  <r>
    <s v="TRX0109"/>
    <x v="68"/>
    <s v="CUST010"/>
    <s v="Maria Garcia"/>
    <s v="P008"/>
    <x v="5"/>
    <x v="2"/>
    <n v="2"/>
    <n v="149.99"/>
    <s v="Credit Card"/>
    <x v="1"/>
    <x v="1"/>
    <d v="2022-10-14T00:00:00"/>
    <n v="299.98"/>
  </r>
  <r>
    <s v="TRX0206"/>
    <x v="69"/>
    <s v="CUST014"/>
    <s v="Linda Martin"/>
    <s v="P008"/>
    <x v="5"/>
    <x v="2"/>
    <n v="2"/>
    <n v="149.99"/>
    <s v="Cash"/>
    <x v="2"/>
    <x v="0"/>
    <d v="2023-06-24T00:00:00"/>
    <n v="299.98"/>
  </r>
  <r>
    <s v="TRX0146"/>
    <x v="70"/>
    <s v="CUST010"/>
    <s v="Maria Garcia"/>
    <s v="P005"/>
    <x v="2"/>
    <x v="1"/>
    <n v="2"/>
    <n v="59.99"/>
    <s v="Credit Card"/>
    <x v="3"/>
    <x v="2"/>
    <d v="2022-01-18T00:00:00"/>
    <n v="119.98"/>
  </r>
  <r>
    <s v="TRX0028"/>
    <x v="71"/>
    <s v="CUST002"/>
    <s v="Emma Wilson"/>
    <s v="P005"/>
    <x v="2"/>
    <x v="1"/>
    <n v="2"/>
    <n v="59.99"/>
    <s v="Cash"/>
    <x v="1"/>
    <x v="2"/>
    <d v="2023-09-22T00:00:00"/>
    <n v="119.98"/>
  </r>
  <r>
    <s v="TRX0233"/>
    <x v="72"/>
    <s v="CUST023"/>
    <s v="Paul Baker"/>
    <s v="P010"/>
    <x v="3"/>
    <x v="0"/>
    <n v="2"/>
    <n v="89.99"/>
    <s v="Credit Card"/>
    <x v="1"/>
    <x v="1"/>
    <d v="2024-01-04T00:00:00"/>
    <n v="179.98"/>
  </r>
  <r>
    <s v="TRX0250"/>
    <x v="73"/>
    <s v="CUST026"/>
    <s v="Karen Hill"/>
    <s v="P010"/>
    <x v="3"/>
    <x v="0"/>
    <n v="2"/>
    <n v="89.99"/>
    <s v="Debit Card"/>
    <x v="1"/>
    <x v="1"/>
    <d v="2021-11-22T00:00:00"/>
    <n v="179.98"/>
  </r>
  <r>
    <s v="TRX0224"/>
    <x v="24"/>
    <s v="CUST031"/>
    <s v="Steven Turner"/>
    <s v="P007"/>
    <x v="8"/>
    <x v="2"/>
    <n v="2"/>
    <n v="299.99"/>
    <s v="Cash"/>
    <x v="4"/>
    <x v="1"/>
    <d v="2022-06-12T00:00:00"/>
    <n v="599.98"/>
  </r>
  <r>
    <s v="TRX0068"/>
    <x v="74"/>
    <s v="CUST044"/>
    <s v="Cynthia Price"/>
    <s v="P002"/>
    <x v="6"/>
    <x v="0"/>
    <n v="2"/>
    <n v="699.99"/>
    <s v="PayPal"/>
    <x v="0"/>
    <x v="0"/>
    <d v="2022-02-26T00:00:00"/>
    <n v="1399.98"/>
  </r>
  <r>
    <s v="TRX0103"/>
    <x v="75"/>
    <s v="CUST039"/>
    <s v="Lawrence Reed"/>
    <s v="P010"/>
    <x v="3"/>
    <x v="0"/>
    <n v="2"/>
    <n v="89.99"/>
    <s v="Debit Card"/>
    <x v="4"/>
    <x v="2"/>
    <d v="2023-06-11T00:00:00"/>
    <n v="179.98"/>
  </r>
  <r>
    <s v="TRX0014"/>
    <x v="76"/>
    <s v="CUST033"/>
    <s v="Frank Torres"/>
    <s v="P005"/>
    <x v="2"/>
    <x v="1"/>
    <n v="2"/>
    <n v="59.99"/>
    <s v="Credit Card"/>
    <x v="1"/>
    <x v="2"/>
    <d v="2023-09-24T00:00:00"/>
    <n v="119.98"/>
  </r>
  <r>
    <s v="TRX0046"/>
    <x v="77"/>
    <s v="CUST003"/>
    <s v="Michael Brown"/>
    <s v="P008"/>
    <x v="5"/>
    <x v="2"/>
    <n v="2"/>
    <n v="149.99"/>
    <s v="Cash"/>
    <x v="2"/>
    <x v="2"/>
    <d v="2023-11-09T00:00:00"/>
    <n v="299.98"/>
  </r>
  <r>
    <s v="TRX0171"/>
    <x v="78"/>
    <s v="CUST021"/>
    <s v="Kevin Scott"/>
    <s v="P007"/>
    <x v="8"/>
    <x v="2"/>
    <n v="2"/>
    <n v="299.99"/>
    <s v="PayPal"/>
    <x v="2"/>
    <x v="2"/>
    <d v="2022-06-09T00:00:00"/>
    <n v="599.98"/>
  </r>
  <r>
    <s v="TRX0143"/>
    <x v="79"/>
    <s v="CUST003"/>
    <s v="Michael Brown"/>
    <s v="P007"/>
    <x v="8"/>
    <x v="2"/>
    <n v="2"/>
    <n v="299.99"/>
    <s v="Cash"/>
    <x v="1"/>
    <x v="2"/>
    <d v="2022-07-29T00:00:00"/>
    <n v="599.98"/>
  </r>
  <r>
    <s v="TRX0118"/>
    <x v="80"/>
    <s v="CUST015"/>
    <s v="Richard Lee"/>
    <s v="P008"/>
    <x v="5"/>
    <x v="2"/>
    <n v="2"/>
    <n v="149.99"/>
    <s v="Cash"/>
    <x v="2"/>
    <x v="1"/>
    <d v="2022-06-16T00:00:00"/>
    <n v="299.98"/>
  </r>
  <r>
    <s v="TRX0182"/>
    <x v="81"/>
    <s v="CUST031"/>
    <s v="Steven Turner"/>
    <s v="P006"/>
    <x v="9"/>
    <x v="2"/>
    <n v="2"/>
    <n v="199.99"/>
    <s v="Cash"/>
    <x v="3"/>
    <x v="1"/>
    <d v="2022-01-12T00:00:00"/>
    <n v="399.98"/>
  </r>
  <r>
    <s v="TRX0048"/>
    <x v="82"/>
    <s v="CUST048"/>
    <s v="Virginia Sanders"/>
    <s v="P007"/>
    <x v="8"/>
    <x v="2"/>
    <n v="2"/>
    <n v="299.99"/>
    <s v="PayPal"/>
    <x v="2"/>
    <x v="2"/>
    <d v="2022-01-15T00:00:00"/>
    <n v="599.98"/>
  </r>
  <r>
    <s v="TRX0227"/>
    <x v="83"/>
    <s v="CUST017"/>
    <s v="Charles Allen"/>
    <s v="P008"/>
    <x v="5"/>
    <x v="2"/>
    <n v="2"/>
    <n v="149.99"/>
    <s v="Cash"/>
    <x v="3"/>
    <x v="2"/>
    <d v="2023-05-22T00:00:00"/>
    <n v="299.98"/>
  </r>
  <r>
    <s v="TRX0186"/>
    <x v="84"/>
    <s v="CUST039"/>
    <s v="Lawrence Reed"/>
    <s v="P008"/>
    <x v="5"/>
    <x v="2"/>
    <n v="2"/>
    <n v="149.99"/>
    <s v="PayPal"/>
    <x v="3"/>
    <x v="1"/>
    <d v="2022-03-12T00:00:00"/>
    <n v="299.98"/>
  </r>
  <r>
    <s v="TRX0003"/>
    <x v="85"/>
    <s v="CUST002"/>
    <s v="Emma Wilson"/>
    <s v="P008"/>
    <x v="5"/>
    <x v="2"/>
    <n v="2"/>
    <n v="149.99"/>
    <s v="Cash"/>
    <x v="1"/>
    <x v="1"/>
    <d v="2023-11-03T00:00:00"/>
    <n v="299.98"/>
  </r>
  <r>
    <s v="TRX0139"/>
    <x v="86"/>
    <s v="CUST021"/>
    <s v="Kevin Scott"/>
    <s v="P005"/>
    <x v="2"/>
    <x v="1"/>
    <n v="3"/>
    <n v="59.99"/>
    <s v="PayPal"/>
    <x v="2"/>
    <x v="0"/>
    <d v="2023-12-02T00:00:00"/>
    <n v="179.97"/>
  </r>
  <r>
    <s v="TRX0043"/>
    <x v="87"/>
    <s v="CUST046"/>
    <s v="Kathleen Bennett"/>
    <s v="P005"/>
    <x v="2"/>
    <x v="1"/>
    <n v="3"/>
    <n v="59.99"/>
    <s v="Cash"/>
    <x v="0"/>
    <x v="1"/>
    <d v="2023-07-07T00:00:00"/>
    <n v="179.97"/>
  </r>
  <r>
    <s v="TRX0240"/>
    <x v="45"/>
    <s v="CUST017"/>
    <s v="Charles Allen"/>
    <s v="P005"/>
    <x v="2"/>
    <x v="1"/>
    <n v="3"/>
    <n v="59.99"/>
    <s v="Debit Card"/>
    <x v="2"/>
    <x v="2"/>
    <d v="2023-03-22T00:00:00"/>
    <n v="179.97"/>
  </r>
  <r>
    <s v="TRX0185"/>
    <x v="11"/>
    <s v="CUST026"/>
    <s v="Karen Hill"/>
    <s v="P005"/>
    <x v="2"/>
    <x v="1"/>
    <n v="3"/>
    <n v="59.99"/>
    <s v="Cash"/>
    <x v="1"/>
    <x v="1"/>
    <d v="2023-10-08T00:00:00"/>
    <n v="179.97"/>
  </r>
  <r>
    <s v="TRX0067"/>
    <x v="0"/>
    <s v="CUST043"/>
    <s v="Dennis Gray"/>
    <s v="P005"/>
    <x v="2"/>
    <x v="1"/>
    <n v="3"/>
    <n v="59.99"/>
    <s v="Credit Card"/>
    <x v="0"/>
    <x v="0"/>
    <d v="2024-02-29T00:00:00"/>
    <n v="179.97"/>
  </r>
  <r>
    <s v="TRX0235"/>
    <x v="88"/>
    <s v="CUST014"/>
    <s v="Linda Martin"/>
    <s v="P004"/>
    <x v="1"/>
    <x v="1"/>
    <n v="3"/>
    <n v="79.989999999999995"/>
    <s v="PayPal"/>
    <x v="4"/>
    <x v="1"/>
    <d v="2023-03-27T00:00:00"/>
    <n v="239.97"/>
  </r>
  <r>
    <s v="TRX0246"/>
    <x v="11"/>
    <s v="CUST041"/>
    <s v="Peter Richardson"/>
    <s v="P008"/>
    <x v="5"/>
    <x v="2"/>
    <n v="3"/>
    <n v="149.99"/>
    <s v="Cash"/>
    <x v="0"/>
    <x v="1"/>
    <d v="2022-09-02T00:00:00"/>
    <n v="449.97"/>
  </r>
  <r>
    <s v="TRX0130"/>
    <x v="89"/>
    <s v="CUST002"/>
    <s v="Emma Wilson"/>
    <s v="P008"/>
    <x v="5"/>
    <x v="2"/>
    <n v="3"/>
    <n v="149.99"/>
    <s v="Credit Card"/>
    <x v="1"/>
    <x v="1"/>
    <d v="2023-05-22T00:00:00"/>
    <n v="449.97"/>
  </r>
  <r>
    <s v="TRX0232"/>
    <x v="90"/>
    <s v="CUST012"/>
    <s v="Patricia Moore"/>
    <s v="P007"/>
    <x v="8"/>
    <x v="2"/>
    <n v="3"/>
    <n v="299.99"/>
    <s v="Credit Card"/>
    <x v="4"/>
    <x v="2"/>
    <d v="2022-09-20T00:00:00"/>
    <n v="899.97"/>
  </r>
  <r>
    <s v="TRX0021"/>
    <x v="91"/>
    <s v="CUST006"/>
    <s v="Lisa Anderson"/>
    <s v="P004"/>
    <x v="1"/>
    <x v="1"/>
    <n v="3"/>
    <n v="79.989999999999995"/>
    <s v="Cash"/>
    <x v="2"/>
    <x v="2"/>
    <d v="2023-04-30T00:00:00"/>
    <n v="239.97"/>
  </r>
  <r>
    <s v="TRX0155"/>
    <x v="92"/>
    <s v="CUST023"/>
    <s v="Paul Baker"/>
    <s v="P009"/>
    <x v="7"/>
    <x v="0"/>
    <n v="3"/>
    <n v="249.99"/>
    <s v="Cash"/>
    <x v="3"/>
    <x v="2"/>
    <d v="2021-08-17T00:00:00"/>
    <n v="749.97"/>
  </r>
  <r>
    <s v="TRX0023"/>
    <x v="93"/>
    <s v="CUST013"/>
    <s v="Joseph Jackson"/>
    <s v="P009"/>
    <x v="7"/>
    <x v="0"/>
    <n v="3"/>
    <n v="249.99"/>
    <s v="Credit Card"/>
    <x v="3"/>
    <x v="1"/>
    <d v="2022-01-14T00:00:00"/>
    <n v="749.97"/>
  </r>
  <r>
    <s v="TRX0135"/>
    <x v="94"/>
    <s v="CUST009"/>
    <s v="Robert Thomas"/>
    <s v="P001"/>
    <x v="0"/>
    <x v="0"/>
    <n v="3"/>
    <n v="899.99"/>
    <s v="PayPal"/>
    <x v="4"/>
    <x v="0"/>
    <d v="2024-01-08T00:00:00"/>
    <n v="2699.97"/>
  </r>
  <r>
    <s v="TRX0191"/>
    <x v="0"/>
    <s v="CUST038"/>
    <s v="Michelle Rogers"/>
    <s v="P002"/>
    <x v="6"/>
    <x v="0"/>
    <n v="3"/>
    <n v="699.99"/>
    <s v="Credit Card"/>
    <x v="1"/>
    <x v="2"/>
    <d v="2022-01-16T00:00:00"/>
    <n v="2099.9699999999998"/>
  </r>
  <r>
    <s v="TRX0222"/>
    <x v="35"/>
    <s v="CUST048"/>
    <s v="Virginia Sanders"/>
    <s v="P009"/>
    <x v="7"/>
    <x v="0"/>
    <n v="3"/>
    <n v="249.99"/>
    <s v="Credit Card"/>
    <x v="0"/>
    <x v="1"/>
    <d v="2023-10-25T00:00:00"/>
    <n v="749.97"/>
  </r>
  <r>
    <s v="TRX0202"/>
    <x v="95"/>
    <s v="CUST035"/>
    <s v="Harry Morgan"/>
    <s v="P010"/>
    <x v="3"/>
    <x v="0"/>
    <n v="3"/>
    <n v="89.99"/>
    <s v="PayPal"/>
    <x v="3"/>
    <x v="1"/>
    <d v="2023-07-13T00:00:00"/>
    <n v="269.97000000000003"/>
  </r>
  <r>
    <s v="TRX0169"/>
    <x v="96"/>
    <s v="CUST047"/>
    <s v="Gerald Murphy"/>
    <s v="P005"/>
    <x v="2"/>
    <x v="1"/>
    <n v="3"/>
    <n v="59.99"/>
    <s v="Credit Card"/>
    <x v="1"/>
    <x v="2"/>
    <d v="2023-07-23T00:00:00"/>
    <n v="179.97"/>
  </r>
  <r>
    <s v="TRX0001"/>
    <x v="41"/>
    <s v="CUST039"/>
    <s v="Lawrence Reed"/>
    <s v="P004"/>
    <x v="1"/>
    <x v="1"/>
    <n v="3"/>
    <n v="79.989999999999995"/>
    <s v="Cash"/>
    <x v="3"/>
    <x v="1"/>
    <d v="2022-08-06T00:00:00"/>
    <n v="239.97"/>
  </r>
  <r>
    <s v="TRX0100"/>
    <x v="97"/>
    <s v="CUST031"/>
    <s v="Steven Turner"/>
    <s v="P005"/>
    <x v="2"/>
    <x v="1"/>
    <n v="3"/>
    <n v="59.99"/>
    <s v="Credit Card"/>
    <x v="3"/>
    <x v="1"/>
    <d v="2022-06-05T00:00:00"/>
    <n v="179.97"/>
  </r>
  <r>
    <s v="TRX0142"/>
    <x v="98"/>
    <s v="CUST002"/>
    <s v="Emma Wilson"/>
    <s v="P005"/>
    <x v="2"/>
    <x v="1"/>
    <n v="3"/>
    <n v="59.99"/>
    <s v="PayPal"/>
    <x v="4"/>
    <x v="0"/>
    <d v="2022-07-06T00:00:00"/>
    <n v="179.97"/>
  </r>
  <r>
    <s v="TRX0245"/>
    <x v="99"/>
    <s v="CUST031"/>
    <s v="Steven Turner"/>
    <s v="P006"/>
    <x v="9"/>
    <x v="2"/>
    <n v="3"/>
    <n v="199.99"/>
    <s v="Credit Card"/>
    <x v="0"/>
    <x v="1"/>
    <d v="2024-01-01T00:00:00"/>
    <n v="599.97"/>
  </r>
  <r>
    <s v="TRX0184"/>
    <x v="100"/>
    <s v="CUST046"/>
    <s v="Kathleen Bennett"/>
    <s v="P002"/>
    <x v="6"/>
    <x v="0"/>
    <n v="3"/>
    <n v="699.99"/>
    <s v="Credit Card"/>
    <x v="4"/>
    <x v="1"/>
    <d v="2023-06-25T00:00:00"/>
    <n v="2099.9699999999998"/>
  </r>
  <r>
    <s v="TRX0098"/>
    <x v="101"/>
    <s v="CUST026"/>
    <s v="Karen Hill"/>
    <s v="P009"/>
    <x v="7"/>
    <x v="0"/>
    <n v="3"/>
    <n v="249.99"/>
    <s v="PayPal"/>
    <x v="0"/>
    <x v="1"/>
    <d v="2021-09-26T00:00:00"/>
    <n v="749.97"/>
  </r>
  <r>
    <s v="TRX0031"/>
    <x v="102"/>
    <s v="CUST036"/>
    <s v="Nancy Collins"/>
    <s v="P003"/>
    <x v="4"/>
    <x v="0"/>
    <n v="3"/>
    <n v="149.99"/>
    <s v="PayPal"/>
    <x v="4"/>
    <x v="2"/>
    <d v="2022-01-13T00:00:00"/>
    <n v="449.97"/>
  </r>
  <r>
    <s v="TRX0216"/>
    <x v="96"/>
    <s v="CUST041"/>
    <s v="Peter Richardson"/>
    <s v="P008"/>
    <x v="5"/>
    <x v="2"/>
    <n v="3"/>
    <n v="149.99"/>
    <s v="Cash"/>
    <x v="3"/>
    <x v="1"/>
    <d v="2023-09-30T00:00:00"/>
    <n v="449.97"/>
  </r>
  <r>
    <s v="TRX0170"/>
    <x v="15"/>
    <s v="CUST034"/>
    <s v="Carol Evans"/>
    <s v="P003"/>
    <x v="4"/>
    <x v="0"/>
    <n v="3"/>
    <n v="149.99"/>
    <s v="Cash"/>
    <x v="1"/>
    <x v="1"/>
    <d v="2023-10-13T00:00:00"/>
    <n v="449.97"/>
  </r>
  <r>
    <s v="TRX0177"/>
    <x v="103"/>
    <s v="CUST032"/>
    <s v="Sandra Phillips"/>
    <s v="P001"/>
    <x v="0"/>
    <x v="0"/>
    <n v="3"/>
    <n v="899.99"/>
    <s v="Credit Card"/>
    <x v="0"/>
    <x v="0"/>
    <d v="2023-08-19T00:00:00"/>
    <n v="2699.97"/>
  </r>
  <r>
    <s v="TRX0158"/>
    <x v="104"/>
    <s v="CUST027"/>
    <s v="George Adams"/>
    <s v="P001"/>
    <x v="0"/>
    <x v="0"/>
    <n v="3"/>
    <n v="899.99"/>
    <s v="PayPal"/>
    <x v="1"/>
    <x v="2"/>
    <d v="2023-10-16T00:00:00"/>
    <n v="2699.97"/>
  </r>
  <r>
    <s v="TRX0079"/>
    <x v="105"/>
    <s v="CUST039"/>
    <s v="Lawrence Reed"/>
    <s v="P010"/>
    <x v="3"/>
    <x v="0"/>
    <n v="3"/>
    <n v="89.99"/>
    <s v="PayPal"/>
    <x v="3"/>
    <x v="2"/>
    <d v="2021-12-21T00:00:00"/>
    <n v="269.97000000000003"/>
  </r>
  <r>
    <s v="TRX0131"/>
    <x v="106"/>
    <s v="CUST026"/>
    <s v="Karen Hill"/>
    <s v="P006"/>
    <x v="9"/>
    <x v="2"/>
    <n v="3"/>
    <n v="199.99"/>
    <s v="Cash"/>
    <x v="0"/>
    <x v="1"/>
    <d v="2023-11-24T00:00:00"/>
    <n v="599.97"/>
  </r>
  <r>
    <s v="TRX0002"/>
    <x v="38"/>
    <s v="CUST019"/>
    <s v="Daniel King"/>
    <s v="P007"/>
    <x v="8"/>
    <x v="2"/>
    <n v="3"/>
    <n v="299.99"/>
    <s v="Cash"/>
    <x v="3"/>
    <x v="2"/>
    <d v="2022-06-20T00:00:00"/>
    <n v="899.97"/>
  </r>
  <r>
    <s v="TRX0108"/>
    <x v="107"/>
    <s v="CUST024"/>
    <s v="Dorothy Nelson"/>
    <s v="P007"/>
    <x v="8"/>
    <x v="2"/>
    <n v="3"/>
    <n v="299.99"/>
    <s v="Credit Card"/>
    <x v="3"/>
    <x v="1"/>
    <d v="2021-10-25T00:00:00"/>
    <n v="899.97"/>
  </r>
  <r>
    <s v="TRX0119"/>
    <x v="108"/>
    <s v="CUST014"/>
    <s v="Linda Martin"/>
    <s v="P008"/>
    <x v="5"/>
    <x v="2"/>
    <n v="3"/>
    <n v="149.99"/>
    <s v="PayPal"/>
    <x v="4"/>
    <x v="2"/>
    <d v="2022-11-21T00:00:00"/>
    <n v="449.97"/>
  </r>
  <r>
    <s v="TRX0149"/>
    <x v="109"/>
    <s v="CUST027"/>
    <s v="George Adams"/>
    <s v="P005"/>
    <x v="2"/>
    <x v="1"/>
    <n v="3"/>
    <n v="59.99"/>
    <s v="Debit Card"/>
    <x v="2"/>
    <x v="0"/>
    <d v="2023-11-30T00:00:00"/>
    <n v="179.97"/>
  </r>
  <r>
    <s v="TRX0153"/>
    <x v="110"/>
    <s v="CUST049"/>
    <s v="Raymond Ross"/>
    <s v="P010"/>
    <x v="3"/>
    <x v="0"/>
    <n v="3"/>
    <n v="89.99"/>
    <s v="Credit Card"/>
    <x v="0"/>
    <x v="0"/>
    <d v="2022-02-23T00:00:00"/>
    <n v="269.97000000000003"/>
  </r>
  <r>
    <s v="TRX0060"/>
    <x v="111"/>
    <s v="CUST012"/>
    <s v="Patricia Moore"/>
    <s v="P010"/>
    <x v="3"/>
    <x v="0"/>
    <n v="3"/>
    <n v="89.99"/>
    <s v="Credit Card"/>
    <x v="0"/>
    <x v="1"/>
    <d v="2021-08-12T00:00:00"/>
    <n v="269.97000000000003"/>
  </r>
  <r>
    <s v="TRX0218"/>
    <x v="48"/>
    <s v="CUST034"/>
    <s v="Carol Evans"/>
    <s v="P008"/>
    <x v="5"/>
    <x v="2"/>
    <n v="3"/>
    <n v="149.99"/>
    <s v="Credit Card"/>
    <x v="2"/>
    <x v="0"/>
    <d v="2023-01-14T00:00:00"/>
    <n v="449.97"/>
  </r>
  <r>
    <s v="TRX0085"/>
    <x v="112"/>
    <s v="CUST019"/>
    <s v="Daniel King"/>
    <s v="P007"/>
    <x v="8"/>
    <x v="2"/>
    <n v="3"/>
    <n v="299.99"/>
    <s v="Credit Card"/>
    <x v="3"/>
    <x v="0"/>
    <d v="2023-09-05T00:00:00"/>
    <n v="899.97"/>
  </r>
  <r>
    <s v="TRX0035"/>
    <x v="113"/>
    <s v="CUST041"/>
    <s v="Peter Richardson"/>
    <s v="P003"/>
    <x v="4"/>
    <x v="0"/>
    <n v="3"/>
    <n v="149.99"/>
    <s v="Cash"/>
    <x v="0"/>
    <x v="2"/>
    <d v="2022-07-27T00:00:00"/>
    <n v="449.97"/>
  </r>
  <r>
    <s v="TRX0148"/>
    <x v="19"/>
    <s v="CUST004"/>
    <s v="Sarah Davis"/>
    <s v="P002"/>
    <x v="6"/>
    <x v="0"/>
    <n v="3"/>
    <n v="699.99"/>
    <s v="PayPal"/>
    <x v="1"/>
    <x v="0"/>
    <d v="2022-01-22T00:00:00"/>
    <n v="2099.9699999999998"/>
  </r>
  <r>
    <s v="TRX0125"/>
    <x v="114"/>
    <s v="CUST026"/>
    <s v="Karen Hill"/>
    <s v="P002"/>
    <x v="6"/>
    <x v="0"/>
    <n v="3"/>
    <n v="699.99"/>
    <s v="Credit Card"/>
    <x v="3"/>
    <x v="1"/>
    <d v="2023-06-28T00:00:00"/>
    <n v="2099.9699999999998"/>
  </r>
  <r>
    <s v="TRX0238"/>
    <x v="115"/>
    <s v="CUST038"/>
    <s v="Michelle Rogers"/>
    <s v="P002"/>
    <x v="6"/>
    <x v="0"/>
    <n v="3"/>
    <n v="699.99"/>
    <s v="Cash"/>
    <x v="0"/>
    <x v="1"/>
    <d v="2022-02-10T00:00:00"/>
    <n v="2099.9699999999998"/>
  </r>
  <r>
    <s v="TRX0166"/>
    <x v="64"/>
    <s v="CUST003"/>
    <s v="Michael Brown"/>
    <s v="P010"/>
    <x v="3"/>
    <x v="0"/>
    <n v="3"/>
    <n v="89.99"/>
    <s v="Debit Card"/>
    <x v="2"/>
    <x v="1"/>
    <d v="2024-01-16T00:00:00"/>
    <n v="269.97000000000003"/>
  </r>
  <r>
    <s v="TRX0214"/>
    <x v="116"/>
    <s v="CUST018"/>
    <s v="Barbara Young"/>
    <s v="P001"/>
    <x v="0"/>
    <x v="0"/>
    <n v="3"/>
    <n v="899.99"/>
    <s v="Cash"/>
    <x v="4"/>
    <x v="0"/>
    <d v="2022-02-21T00:00:00"/>
    <n v="2699.97"/>
  </r>
  <r>
    <s v="TRX0124"/>
    <x v="85"/>
    <s v="CUST040"/>
    <s v="Sharon Butler"/>
    <s v="P001"/>
    <x v="0"/>
    <x v="0"/>
    <n v="3"/>
    <n v="899.99"/>
    <s v="Debit Card"/>
    <x v="0"/>
    <x v="1"/>
    <d v="2022-11-11T00:00:00"/>
    <n v="2699.97"/>
  </r>
  <r>
    <s v="TRX0013"/>
    <x v="85"/>
    <s v="CUST024"/>
    <s v="Dorothy Nelson"/>
    <s v="P001"/>
    <x v="0"/>
    <x v="0"/>
    <n v="3"/>
    <n v="899.99"/>
    <s v="PayPal"/>
    <x v="0"/>
    <x v="2"/>
    <d v="2023-02-18T00:00:00"/>
    <n v="2699.97"/>
  </r>
  <r>
    <s v="TRX0144"/>
    <x v="117"/>
    <s v="CUST029"/>
    <s v="Edward Mitchell"/>
    <s v="P001"/>
    <x v="0"/>
    <x v="0"/>
    <n v="3"/>
    <n v="899.99"/>
    <s v="Cash"/>
    <x v="3"/>
    <x v="0"/>
    <d v="2023-01-27T00:00:00"/>
    <n v="2699.97"/>
  </r>
  <r>
    <s v="TRX0120"/>
    <x v="75"/>
    <s v="CUST045"/>
    <s v="Douglas Watson"/>
    <s v="P002"/>
    <x v="6"/>
    <x v="0"/>
    <n v="3"/>
    <n v="699.99"/>
    <s v="PayPal"/>
    <x v="0"/>
    <x v="2"/>
    <d v="2022-12-14T00:00:00"/>
    <n v="2099.9699999999998"/>
  </r>
  <r>
    <s v="TRX0064"/>
    <x v="75"/>
    <s v="CUST031"/>
    <s v="Steven Turner"/>
    <s v="P010"/>
    <x v="3"/>
    <x v="0"/>
    <n v="3"/>
    <n v="89.99"/>
    <s v="Debit Card"/>
    <x v="0"/>
    <x v="1"/>
    <d v="2022-11-13T00:00:00"/>
    <n v="269.97000000000003"/>
  </r>
  <r>
    <s v="TRX0017"/>
    <x v="118"/>
    <s v="CUST026"/>
    <s v="Karen Hill"/>
    <s v="P007"/>
    <x v="8"/>
    <x v="2"/>
    <n v="3"/>
    <n v="299.99"/>
    <s v="Credit Card"/>
    <x v="2"/>
    <x v="0"/>
    <d v="2021-11-02T00:00:00"/>
    <n v="899.97"/>
  </r>
  <r>
    <s v="TRX0045"/>
    <x v="54"/>
    <s v="CUST021"/>
    <s v="Kevin Scott"/>
    <s v="P007"/>
    <x v="8"/>
    <x v="2"/>
    <n v="3"/>
    <n v="299.99"/>
    <s v="Cash"/>
    <x v="2"/>
    <x v="1"/>
    <d v="2022-04-08T00:00:00"/>
    <n v="899.97"/>
  </r>
  <r>
    <s v="TRX0082"/>
    <x v="55"/>
    <s v="CUST005"/>
    <s v="James Johnson"/>
    <s v="P005"/>
    <x v="2"/>
    <x v="1"/>
    <n v="3"/>
    <n v="59.99"/>
    <s v="Cash"/>
    <x v="3"/>
    <x v="1"/>
    <d v="2023-05-06T00:00:00"/>
    <n v="179.97"/>
  </r>
  <r>
    <s v="TRX0008"/>
    <x v="57"/>
    <s v="CUST007"/>
    <s v="David Martinez"/>
    <s v="P008"/>
    <x v="5"/>
    <x v="2"/>
    <n v="3"/>
    <n v="149.99"/>
    <s v="Debit Card"/>
    <x v="0"/>
    <x v="0"/>
    <d v="2021-11-22T00:00:00"/>
    <n v="449.97"/>
  </r>
  <r>
    <s v="TRX0198"/>
    <x v="119"/>
    <s v="CUST030"/>
    <s v="Helen Roberts"/>
    <s v="P004"/>
    <x v="1"/>
    <x v="1"/>
    <n v="3"/>
    <n v="79.989999999999995"/>
    <s v="Debit Card"/>
    <x v="4"/>
    <x v="0"/>
    <d v="2022-08-06T00:00:00"/>
    <n v="239.97"/>
  </r>
  <r>
    <s v="TRX0091"/>
    <x v="120"/>
    <s v="CUST003"/>
    <s v="Michael Brown"/>
    <s v="P007"/>
    <x v="8"/>
    <x v="2"/>
    <n v="3"/>
    <n v="299.99"/>
    <s v="Cash"/>
    <x v="2"/>
    <x v="0"/>
    <d v="2021-08-14T00:00:00"/>
    <n v="899.97"/>
  </r>
  <r>
    <s v="TRX0051"/>
    <x v="60"/>
    <s v="CUST032"/>
    <s v="Sandra Phillips"/>
    <s v="P007"/>
    <x v="8"/>
    <x v="2"/>
    <n v="3"/>
    <n v="299.99"/>
    <s v="Credit Card"/>
    <x v="2"/>
    <x v="2"/>
    <d v="2023-10-05T00:00:00"/>
    <n v="899.97"/>
  </r>
  <r>
    <s v="TRX0187"/>
    <x v="121"/>
    <s v="CUST036"/>
    <s v="Nancy Collins"/>
    <s v="P004"/>
    <x v="1"/>
    <x v="1"/>
    <n v="3"/>
    <n v="79.989999999999995"/>
    <s v="Cash"/>
    <x v="4"/>
    <x v="1"/>
    <d v="2021-08-28T00:00:00"/>
    <n v="239.97"/>
  </r>
  <r>
    <s v="TRX0072"/>
    <x v="122"/>
    <s v="CUST009"/>
    <s v="Robert Thomas"/>
    <s v="P008"/>
    <x v="5"/>
    <x v="2"/>
    <n v="3"/>
    <n v="149.99"/>
    <s v="Credit Card"/>
    <x v="4"/>
    <x v="0"/>
    <d v="2021-07-18T00:00:00"/>
    <n v="449.97"/>
  </r>
  <r>
    <s v="TRX0178"/>
    <x v="61"/>
    <s v="CUST025"/>
    <s v="Mark Carter"/>
    <s v="P007"/>
    <x v="8"/>
    <x v="2"/>
    <n v="3"/>
    <n v="299.99"/>
    <s v="Debit Card"/>
    <x v="1"/>
    <x v="0"/>
    <d v="2023-01-26T00:00:00"/>
    <n v="899.97"/>
  </r>
  <r>
    <s v="TRX0039"/>
    <x v="123"/>
    <s v="CUST048"/>
    <s v="Virginia Sanders"/>
    <s v="P004"/>
    <x v="1"/>
    <x v="1"/>
    <n v="3"/>
    <n v="79.989999999999995"/>
    <s v="Credit Card"/>
    <x v="0"/>
    <x v="2"/>
    <d v="2021-11-11T00:00:00"/>
    <n v="239.97"/>
  </r>
  <r>
    <s v="TRX0024"/>
    <x v="124"/>
    <s v="CUST042"/>
    <s v="Ruth Brooks"/>
    <s v="P008"/>
    <x v="5"/>
    <x v="2"/>
    <n v="3"/>
    <n v="149.99"/>
    <s v="Debit Card"/>
    <x v="0"/>
    <x v="1"/>
    <d v="2022-01-03T00:00:00"/>
    <n v="449.97"/>
  </r>
  <r>
    <s v="TRX0089"/>
    <x v="65"/>
    <s v="CUST021"/>
    <s v="Kevin Scott"/>
    <s v="P006"/>
    <x v="9"/>
    <x v="2"/>
    <n v="3"/>
    <n v="199.99"/>
    <s v="Cash"/>
    <x v="3"/>
    <x v="2"/>
    <d v="2022-06-23T00:00:00"/>
    <n v="599.97"/>
  </r>
  <r>
    <s v="TRX0168"/>
    <x v="125"/>
    <s v="CUST003"/>
    <s v="Michael Brown"/>
    <s v="P008"/>
    <x v="5"/>
    <x v="2"/>
    <n v="3"/>
    <n v="149.99"/>
    <s v="PayPal"/>
    <x v="3"/>
    <x v="0"/>
    <d v="2022-03-13T00:00:00"/>
    <n v="449.97"/>
  </r>
  <r>
    <s v="TRX0221"/>
    <x v="116"/>
    <s v="CUST033"/>
    <s v="Frank Torres"/>
    <s v="P006"/>
    <x v="9"/>
    <x v="2"/>
    <n v="3"/>
    <n v="199.99"/>
    <s v="Cash"/>
    <x v="1"/>
    <x v="1"/>
    <d v="2022-09-19T00:00:00"/>
    <n v="599.97"/>
  </r>
  <r>
    <s v="TRX0019"/>
    <x v="126"/>
    <s v="CUST023"/>
    <s v="Paul Baker"/>
    <s v="P007"/>
    <x v="8"/>
    <x v="2"/>
    <n v="3"/>
    <n v="299.99"/>
    <s v="Credit Card"/>
    <x v="1"/>
    <x v="1"/>
    <d v="2023-11-04T00:00:00"/>
    <n v="899.97"/>
  </r>
  <r>
    <s v="TRX0197"/>
    <x v="73"/>
    <s v="CUST048"/>
    <s v="Virginia Sanders"/>
    <s v="P008"/>
    <x v="5"/>
    <x v="2"/>
    <n v="3"/>
    <n v="149.99"/>
    <s v="PayPal"/>
    <x v="3"/>
    <x v="0"/>
    <d v="2023-09-02T00:00:00"/>
    <n v="449.97"/>
  </r>
  <r>
    <s v="TRX0241"/>
    <x v="127"/>
    <s v="CUST029"/>
    <s v="Edward Mitchell"/>
    <s v="P005"/>
    <x v="2"/>
    <x v="1"/>
    <n v="4"/>
    <n v="59.99"/>
    <s v="Debit Card"/>
    <x v="4"/>
    <x v="0"/>
    <d v="2022-11-02T00:00:00"/>
    <n v="239.96"/>
  </r>
  <r>
    <s v="TRX0093"/>
    <x v="128"/>
    <s v="CUST050"/>
    <s v="Julie Foster"/>
    <s v="P005"/>
    <x v="2"/>
    <x v="1"/>
    <n v="4"/>
    <n v="59.99"/>
    <s v="Cash"/>
    <x v="4"/>
    <x v="0"/>
    <d v="2021-08-27T00:00:00"/>
    <n v="239.96"/>
  </r>
  <r>
    <s v="TRX0136"/>
    <x v="129"/>
    <s v="CUST049"/>
    <s v="Raymond Ross"/>
    <s v="P005"/>
    <x v="2"/>
    <x v="1"/>
    <n v="4"/>
    <n v="59.99"/>
    <s v="Cash"/>
    <x v="2"/>
    <x v="0"/>
    <d v="2021-11-09T00:00:00"/>
    <n v="239.96"/>
  </r>
  <r>
    <s v="TRX0112"/>
    <x v="98"/>
    <s v="CUST008"/>
    <s v="Jennifer Taylor"/>
    <s v="P004"/>
    <x v="1"/>
    <x v="1"/>
    <n v="4"/>
    <n v="79.989999999999995"/>
    <s v="Cash"/>
    <x v="0"/>
    <x v="2"/>
    <d v="2021-11-30T00:00:00"/>
    <n v="319.95999999999998"/>
  </r>
  <r>
    <s v="TRX0036"/>
    <x v="55"/>
    <s v="CUST008"/>
    <s v="Jennifer Taylor"/>
    <s v="P004"/>
    <x v="1"/>
    <x v="1"/>
    <n v="4"/>
    <n v="79.989999999999995"/>
    <s v="Debit Card"/>
    <x v="4"/>
    <x v="0"/>
    <d v="2022-12-26T00:00:00"/>
    <n v="319.95999999999998"/>
  </r>
  <r>
    <s v="TRX0126"/>
    <x v="130"/>
    <s v="CUST022"/>
    <s v="Susan Green"/>
    <s v="P005"/>
    <x v="2"/>
    <x v="1"/>
    <n v="4"/>
    <n v="59.99"/>
    <s v="Debit Card"/>
    <x v="4"/>
    <x v="0"/>
    <d v="2022-01-03T00:00:00"/>
    <n v="239.96"/>
  </r>
  <r>
    <s v="TRX0229"/>
    <x v="82"/>
    <s v="CUST015"/>
    <s v="Richard Lee"/>
    <s v="P005"/>
    <x v="2"/>
    <x v="1"/>
    <n v="4"/>
    <n v="59.99"/>
    <s v="Cash"/>
    <x v="1"/>
    <x v="0"/>
    <d v="2023-05-24T00:00:00"/>
    <n v="239.96"/>
  </r>
  <r>
    <s v="TRX0152"/>
    <x v="131"/>
    <s v="CUST044"/>
    <s v="Cynthia Price"/>
    <s v="P004"/>
    <x v="1"/>
    <x v="1"/>
    <n v="4"/>
    <n v="79.989999999999995"/>
    <s v="Credit Card"/>
    <x v="3"/>
    <x v="2"/>
    <d v="2023-12-28T00:00:00"/>
    <n v="319.95999999999998"/>
  </r>
  <r>
    <s v="TRX0049"/>
    <x v="35"/>
    <s v="CUST025"/>
    <s v="Mark Carter"/>
    <s v="P008"/>
    <x v="5"/>
    <x v="2"/>
    <n v="4"/>
    <n v="149.99"/>
    <s v="Debit Card"/>
    <x v="0"/>
    <x v="1"/>
    <d v="2024-03-23T00:00:00"/>
    <n v="599.96"/>
  </r>
  <r>
    <s v="TRX0122"/>
    <x v="35"/>
    <s v="CUST025"/>
    <s v="Mark Carter"/>
    <s v="P001"/>
    <x v="0"/>
    <x v="0"/>
    <n v="4"/>
    <n v="899.99"/>
    <s v="Credit Card"/>
    <x v="1"/>
    <x v="0"/>
    <d v="2024-02-05T00:00:00"/>
    <n v="3599.96"/>
  </r>
  <r>
    <s v="TRX0239"/>
    <x v="132"/>
    <s v="CUST012"/>
    <s v="Patricia Moore"/>
    <s v="P002"/>
    <x v="6"/>
    <x v="0"/>
    <n v="4"/>
    <n v="699.99"/>
    <s v="Cash"/>
    <x v="4"/>
    <x v="0"/>
    <d v="2021-08-01T00:00:00"/>
    <n v="2799.96"/>
  </r>
  <r>
    <s v="TRX0242"/>
    <x v="133"/>
    <s v="CUST025"/>
    <s v="Mark Carter"/>
    <s v="P007"/>
    <x v="8"/>
    <x v="2"/>
    <n v="4"/>
    <n v="299.99"/>
    <s v="Cash"/>
    <x v="1"/>
    <x v="1"/>
    <d v="2022-06-04T00:00:00"/>
    <n v="1199.96"/>
  </r>
  <r>
    <s v="TRX0204"/>
    <x v="134"/>
    <s v="CUST044"/>
    <s v="Cynthia Price"/>
    <s v="P009"/>
    <x v="7"/>
    <x v="0"/>
    <n v="4"/>
    <n v="249.99"/>
    <s v="PayPal"/>
    <x v="0"/>
    <x v="0"/>
    <d v="2021-09-29T00:00:00"/>
    <n v="999.96"/>
  </r>
  <r>
    <s v="TRX0025"/>
    <x v="135"/>
    <s v="CUST049"/>
    <s v="Raymond Ross"/>
    <s v="P010"/>
    <x v="3"/>
    <x v="0"/>
    <n v="4"/>
    <n v="89.99"/>
    <s v="Debit Card"/>
    <x v="2"/>
    <x v="2"/>
    <d v="2023-12-21T00:00:00"/>
    <n v="359.96"/>
  </r>
  <r>
    <s v="TRX0104"/>
    <x v="100"/>
    <s v="CUST012"/>
    <s v="Patricia Moore"/>
    <s v="P001"/>
    <x v="0"/>
    <x v="0"/>
    <n v="4"/>
    <n v="899.99"/>
    <s v="Credit Card"/>
    <x v="4"/>
    <x v="1"/>
    <d v="2023-03-08T00:00:00"/>
    <n v="3599.96"/>
  </r>
  <r>
    <s v="TRX0247"/>
    <x v="101"/>
    <s v="CUST046"/>
    <s v="Kathleen Bennett"/>
    <s v="P006"/>
    <x v="9"/>
    <x v="2"/>
    <n v="4"/>
    <n v="199.99"/>
    <s v="Cash"/>
    <x v="0"/>
    <x v="0"/>
    <d v="2021-09-19T00:00:00"/>
    <n v="799.96"/>
  </r>
  <r>
    <s v="TRX0054"/>
    <x v="47"/>
    <s v="CUST004"/>
    <s v="Sarah Davis"/>
    <s v="P006"/>
    <x v="9"/>
    <x v="2"/>
    <n v="4"/>
    <n v="199.99"/>
    <s v="Debit Card"/>
    <x v="4"/>
    <x v="2"/>
    <d v="2021-09-19T00:00:00"/>
    <n v="799.96"/>
  </r>
  <r>
    <s v="TRX0174"/>
    <x v="136"/>
    <s v="CUST003"/>
    <s v="Michael Brown"/>
    <s v="P007"/>
    <x v="8"/>
    <x v="2"/>
    <n v="4"/>
    <n v="299.99"/>
    <s v="Cash"/>
    <x v="3"/>
    <x v="1"/>
    <d v="2021-09-21T00:00:00"/>
    <n v="1199.96"/>
  </r>
  <r>
    <s v="TRX0160"/>
    <x v="137"/>
    <s v="CUST029"/>
    <s v="Edward Mitchell"/>
    <s v="P006"/>
    <x v="9"/>
    <x v="2"/>
    <n v="4"/>
    <n v="199.99"/>
    <s v="Debit Card"/>
    <x v="3"/>
    <x v="1"/>
    <d v="2021-08-19T00:00:00"/>
    <n v="799.96"/>
  </r>
  <r>
    <s v="TRX0215"/>
    <x v="62"/>
    <s v="CUST047"/>
    <s v="Gerald Murphy"/>
    <s v="P009"/>
    <x v="7"/>
    <x v="0"/>
    <n v="4"/>
    <n v="249.99"/>
    <s v="Debit Card"/>
    <x v="3"/>
    <x v="0"/>
    <d v="2023-07-20T00:00:00"/>
    <n v="999.96"/>
  </r>
  <r>
    <s v="TRX0249"/>
    <x v="138"/>
    <s v="CUST030"/>
    <s v="Helen Roberts"/>
    <s v="P001"/>
    <x v="0"/>
    <x v="0"/>
    <n v="4"/>
    <n v="899.99"/>
    <s v="Debit Card"/>
    <x v="2"/>
    <x v="0"/>
    <d v="2021-11-23T00:00:00"/>
    <n v="3599.96"/>
  </r>
  <r>
    <s v="TRX0020"/>
    <x v="101"/>
    <s v="CUST007"/>
    <s v="David Martinez"/>
    <s v="P003"/>
    <x v="4"/>
    <x v="0"/>
    <n v="4"/>
    <n v="149.99"/>
    <s v="Debit Card"/>
    <x v="2"/>
    <x v="1"/>
    <d v="2022-09-16T00:00:00"/>
    <n v="599.96"/>
  </r>
  <r>
    <s v="TRX0005"/>
    <x v="139"/>
    <s v="CUST042"/>
    <s v="Ruth Brooks"/>
    <s v="P003"/>
    <x v="4"/>
    <x v="0"/>
    <n v="4"/>
    <n v="149.99"/>
    <s v="Cash"/>
    <x v="0"/>
    <x v="2"/>
    <d v="2022-12-14T00:00:00"/>
    <n v="599.96"/>
  </r>
  <r>
    <s v="TRX0165"/>
    <x v="79"/>
    <s v="CUST030"/>
    <s v="Helen Roberts"/>
    <s v="P006"/>
    <x v="9"/>
    <x v="2"/>
    <n v="4"/>
    <n v="199.99"/>
    <s v="Credit Card"/>
    <x v="3"/>
    <x v="2"/>
    <d v="2021-11-23T00:00:00"/>
    <n v="799.96"/>
  </r>
  <r>
    <s v="TRX0123"/>
    <x v="18"/>
    <s v="CUST041"/>
    <s v="Peter Richardson"/>
    <s v="P002"/>
    <x v="6"/>
    <x v="0"/>
    <n v="4"/>
    <n v="699.99"/>
    <s v="PayPal"/>
    <x v="2"/>
    <x v="2"/>
    <d v="2022-02-26T00:00:00"/>
    <n v="2799.96"/>
  </r>
  <r>
    <s v="TRX0106"/>
    <x v="122"/>
    <s v="CUST039"/>
    <s v="Lawrence Reed"/>
    <s v="P006"/>
    <x v="9"/>
    <x v="2"/>
    <n v="4"/>
    <n v="199.99"/>
    <s v="Debit Card"/>
    <x v="2"/>
    <x v="0"/>
    <d v="2021-12-14T00:00:00"/>
    <n v="799.96"/>
  </r>
  <r>
    <s v="TRX0203"/>
    <x v="70"/>
    <s v="CUST032"/>
    <s v="Sandra Phillips"/>
    <s v="P003"/>
    <x v="4"/>
    <x v="0"/>
    <n v="4"/>
    <n v="149.99"/>
    <s v="Credit Card"/>
    <x v="0"/>
    <x v="1"/>
    <d v="2023-05-30T00:00:00"/>
    <n v="599.96"/>
  </r>
  <r>
    <s v="TRX0034"/>
    <x v="21"/>
    <s v="CUST049"/>
    <s v="Raymond Ross"/>
    <s v="P002"/>
    <x v="6"/>
    <x v="0"/>
    <n v="4"/>
    <n v="699.99"/>
    <s v="Credit Card"/>
    <x v="3"/>
    <x v="2"/>
    <d v="2024-04-03T00:00:00"/>
    <n v="2799.96"/>
  </r>
  <r>
    <s v="TRX0200"/>
    <x v="32"/>
    <s v="CUST037"/>
    <s v="Arthur Edwards"/>
    <s v="P008"/>
    <x v="5"/>
    <x v="2"/>
    <n v="4"/>
    <n v="149.99"/>
    <s v="PayPal"/>
    <x v="0"/>
    <x v="1"/>
    <d v="2021-08-04T00:00:00"/>
    <n v="599.96"/>
  </r>
  <r>
    <s v="TRX0199"/>
    <x v="84"/>
    <s v="CUST017"/>
    <s v="Charles Allen"/>
    <s v="P008"/>
    <x v="5"/>
    <x v="2"/>
    <n v="4"/>
    <n v="149.99"/>
    <s v="Cash"/>
    <x v="3"/>
    <x v="0"/>
    <d v="2023-12-03T00:00:00"/>
    <n v="599.96"/>
  </r>
  <r>
    <s v="TRX0076"/>
    <x v="113"/>
    <s v="CUST012"/>
    <s v="Patricia Moore"/>
    <s v="P009"/>
    <x v="7"/>
    <x v="0"/>
    <n v="4"/>
    <n v="249.99"/>
    <s v="Credit Card"/>
    <x v="1"/>
    <x v="0"/>
    <d v="2022-04-08T00:00:00"/>
    <n v="999.96"/>
  </r>
  <r>
    <s v="TRX0050"/>
    <x v="140"/>
    <s v="CUST001"/>
    <s v="John Smith"/>
    <s v="P008"/>
    <x v="5"/>
    <x v="2"/>
    <n v="4"/>
    <n v="149.99"/>
    <s v="PayPal"/>
    <x v="1"/>
    <x v="0"/>
    <d v="2021-12-30T00:00:00"/>
    <n v="599.96"/>
  </r>
  <r>
    <s v="TRX0137"/>
    <x v="141"/>
    <s v="CUST011"/>
    <s v="William White"/>
    <s v="P009"/>
    <x v="7"/>
    <x v="0"/>
    <n v="4"/>
    <n v="249.99"/>
    <s v="PayPal"/>
    <x v="4"/>
    <x v="1"/>
    <d v="2023-06-21T00:00:00"/>
    <n v="999.96"/>
  </r>
  <r>
    <s v="TRX0066"/>
    <x v="142"/>
    <s v="CUST024"/>
    <s v="Dorothy Nelson"/>
    <s v="P002"/>
    <x v="6"/>
    <x v="0"/>
    <n v="4"/>
    <n v="699.99"/>
    <s v="Credit Card"/>
    <x v="0"/>
    <x v="1"/>
    <d v="2022-05-22T00:00:00"/>
    <n v="2799.96"/>
  </r>
  <r>
    <s v="TRX0084"/>
    <x v="115"/>
    <s v="CUST031"/>
    <s v="Steven Turner"/>
    <s v="P003"/>
    <x v="4"/>
    <x v="0"/>
    <n v="4"/>
    <n v="149.99"/>
    <s v="Debit Card"/>
    <x v="4"/>
    <x v="0"/>
    <d v="2021-12-06T00:00:00"/>
    <n v="599.96"/>
  </r>
  <r>
    <s v="TRX0087"/>
    <x v="60"/>
    <s v="CUST028"/>
    <s v="Betty Campbell"/>
    <s v="P009"/>
    <x v="7"/>
    <x v="0"/>
    <n v="4"/>
    <n v="249.99"/>
    <s v="Credit Card"/>
    <x v="0"/>
    <x v="1"/>
    <d v="2021-09-21T00:00:00"/>
    <n v="999.96"/>
  </r>
  <r>
    <s v="TRX0159"/>
    <x v="143"/>
    <s v="CUST024"/>
    <s v="Dorothy Nelson"/>
    <s v="P009"/>
    <x v="7"/>
    <x v="0"/>
    <n v="4"/>
    <n v="249.99"/>
    <s v="Debit Card"/>
    <x v="3"/>
    <x v="1"/>
    <d v="2023-10-18T00:00:00"/>
    <n v="999.96"/>
  </r>
  <r>
    <s v="TRX0030"/>
    <x v="61"/>
    <s v="CUST011"/>
    <s v="William White"/>
    <s v="P001"/>
    <x v="0"/>
    <x v="0"/>
    <n v="4"/>
    <n v="899.99"/>
    <s v="PayPal"/>
    <x v="3"/>
    <x v="2"/>
    <d v="2022-06-22T00:00:00"/>
    <n v="3599.96"/>
  </r>
  <r>
    <s v="TRX0010"/>
    <x v="64"/>
    <s v="CUST026"/>
    <s v="Karen Hill"/>
    <s v="P002"/>
    <x v="6"/>
    <x v="0"/>
    <n v="4"/>
    <n v="699.99"/>
    <s v="Debit Card"/>
    <x v="1"/>
    <x v="1"/>
    <d v="2022-05-11T00:00:00"/>
    <n v="2799.96"/>
  </r>
  <r>
    <s v="TRX0193"/>
    <x v="45"/>
    <s v="CUST024"/>
    <s v="Dorothy Nelson"/>
    <s v="P003"/>
    <x v="4"/>
    <x v="0"/>
    <n v="5"/>
    <n v="149.99"/>
    <s v="Credit Card"/>
    <x v="3"/>
    <x v="0"/>
    <d v="2021-08-10T00:00:00"/>
    <n v="749.95"/>
  </r>
  <r>
    <s v="TRX0231"/>
    <x v="144"/>
    <s v="CUST018"/>
    <s v="Barbara Young"/>
    <s v="P002"/>
    <x v="6"/>
    <x v="0"/>
    <n v="5"/>
    <n v="699.99"/>
    <s v="Cash"/>
    <x v="1"/>
    <x v="2"/>
    <d v="2023-08-29T00:00:00"/>
    <n v="3499.95"/>
  </r>
  <r>
    <s v="TRX0070"/>
    <x v="7"/>
    <s v="CUST007"/>
    <s v="David Martinez"/>
    <s v="P004"/>
    <x v="1"/>
    <x v="1"/>
    <n v="5"/>
    <n v="79.989999999999995"/>
    <s v="Debit Card"/>
    <x v="3"/>
    <x v="2"/>
    <d v="2023-02-24T00:00:00"/>
    <n v="399.95"/>
  </r>
  <r>
    <s v="TRX0172"/>
    <x v="113"/>
    <s v="CUST023"/>
    <s v="Paul Baker"/>
    <s v="P005"/>
    <x v="2"/>
    <x v="1"/>
    <n v="5"/>
    <n v="59.99"/>
    <s v="PayPal"/>
    <x v="1"/>
    <x v="1"/>
    <d v="2022-05-13T00:00:00"/>
    <n v="299.95"/>
  </r>
  <r>
    <s v="TRX0212"/>
    <x v="87"/>
    <s v="CUST003"/>
    <s v="Michael Brown"/>
    <s v="P008"/>
    <x v="5"/>
    <x v="2"/>
    <n v="5"/>
    <n v="149.99"/>
    <s v="Credit Card"/>
    <x v="0"/>
    <x v="1"/>
    <d v="2024-01-04T00:00:00"/>
    <n v="749.95"/>
  </r>
  <r>
    <s v="TRX0110"/>
    <x v="145"/>
    <s v="CUST006"/>
    <s v="Lisa Anderson"/>
    <s v="P005"/>
    <x v="2"/>
    <x v="1"/>
    <n v="5"/>
    <n v="59.99"/>
    <s v="Debit Card"/>
    <x v="4"/>
    <x v="2"/>
    <d v="2022-03-22T00:00:00"/>
    <n v="299.95"/>
  </r>
  <r>
    <s v="TRX0071"/>
    <x v="146"/>
    <s v="CUST036"/>
    <s v="Nancy Collins"/>
    <s v="P009"/>
    <x v="7"/>
    <x v="0"/>
    <n v="5"/>
    <n v="249.99"/>
    <s v="Credit Card"/>
    <x v="1"/>
    <x v="0"/>
    <d v="2021-11-25T00:00:00"/>
    <n v="1249.95"/>
  </r>
  <r>
    <s v="TRX0011"/>
    <x v="147"/>
    <s v="CUST040"/>
    <s v="Sharon Butler"/>
    <s v="P005"/>
    <x v="2"/>
    <x v="1"/>
    <n v="5"/>
    <n v="59.99"/>
    <s v="Debit Card"/>
    <x v="3"/>
    <x v="0"/>
    <d v="2023-09-08T00:00:00"/>
    <n v="299.95"/>
  </r>
  <r>
    <s v="TRX0004"/>
    <x v="88"/>
    <s v="CUST012"/>
    <s v="Patricia Moore"/>
    <s v="P010"/>
    <x v="3"/>
    <x v="0"/>
    <n v="5"/>
    <n v="89.99"/>
    <s v="Cash"/>
    <x v="0"/>
    <x v="1"/>
    <d v="2022-12-24T00:00:00"/>
    <n v="449.95"/>
  </r>
  <r>
    <s v="TRX0053"/>
    <x v="148"/>
    <s v="CUST043"/>
    <s v="Dennis Gray"/>
    <s v="P005"/>
    <x v="2"/>
    <x v="1"/>
    <n v="5"/>
    <n v="59.99"/>
    <s v="Cash"/>
    <x v="1"/>
    <x v="1"/>
    <d v="2023-12-31T00:00:00"/>
    <n v="299.95"/>
  </r>
  <r>
    <s v="TRX0209"/>
    <x v="11"/>
    <s v="CUST046"/>
    <s v="Kathleen Bennett"/>
    <s v="P008"/>
    <x v="5"/>
    <x v="2"/>
    <n v="5"/>
    <n v="149.99"/>
    <s v="Debit Card"/>
    <x v="0"/>
    <x v="2"/>
    <d v="2022-09-26T00:00:00"/>
    <n v="749.95"/>
  </r>
  <r>
    <s v="TRX0040"/>
    <x v="88"/>
    <s v="CUST022"/>
    <s v="Susan Green"/>
    <s v="P007"/>
    <x v="8"/>
    <x v="2"/>
    <n v="5"/>
    <n v="299.99"/>
    <s v="PayPal"/>
    <x v="4"/>
    <x v="2"/>
    <d v="2023-08-30T00:00:00"/>
    <n v="1499.95"/>
  </r>
  <r>
    <s v="TRX0029"/>
    <x v="127"/>
    <s v="CUST017"/>
    <s v="Charles Allen"/>
    <s v="P006"/>
    <x v="9"/>
    <x v="2"/>
    <n v="5"/>
    <n v="199.99"/>
    <s v="Cash"/>
    <x v="2"/>
    <x v="0"/>
    <d v="2021-08-04T00:00:00"/>
    <n v="999.95"/>
  </r>
  <r>
    <s v="TRX0015"/>
    <x v="149"/>
    <s v="CUST008"/>
    <s v="Jennifer Taylor"/>
    <s v="P002"/>
    <x v="6"/>
    <x v="0"/>
    <n v="5"/>
    <n v="699.99"/>
    <s v="PayPal"/>
    <x v="1"/>
    <x v="0"/>
    <d v="2021-07-30T00:00:00"/>
    <n v="3499.95"/>
  </r>
  <r>
    <s v="TRX0208"/>
    <x v="150"/>
    <s v="CUST004"/>
    <s v="Sarah Davis"/>
    <s v="P010"/>
    <x v="3"/>
    <x v="0"/>
    <n v="5"/>
    <n v="89.99"/>
    <s v="Credit Card"/>
    <x v="4"/>
    <x v="0"/>
    <d v="2022-01-26T00:00:00"/>
    <n v="449.95"/>
  </r>
  <r>
    <s v="TRX0205"/>
    <x v="151"/>
    <s v="CUST025"/>
    <s v="Mark Carter"/>
    <s v="P007"/>
    <x v="8"/>
    <x v="2"/>
    <n v="5"/>
    <n v="299.99"/>
    <s v="Credit Card"/>
    <x v="0"/>
    <x v="2"/>
    <d v="2023-02-08T00:00:00"/>
    <n v="1499.95"/>
  </r>
  <r>
    <s v="TRX0234"/>
    <x v="5"/>
    <s v="CUST013"/>
    <s v="Joseph Jackson"/>
    <s v="P009"/>
    <x v="7"/>
    <x v="0"/>
    <n v="5"/>
    <n v="249.99"/>
    <s v="Credit Card"/>
    <x v="4"/>
    <x v="0"/>
    <d v="2022-05-26T00:00:00"/>
    <n v="1249.95"/>
  </r>
  <r>
    <s v="TRX0088"/>
    <x v="152"/>
    <s v="CUST006"/>
    <s v="Lisa Anderson"/>
    <s v="P010"/>
    <x v="3"/>
    <x v="0"/>
    <n v="5"/>
    <n v="89.99"/>
    <s v="Cash"/>
    <x v="3"/>
    <x v="1"/>
    <d v="2022-01-18T00:00:00"/>
    <n v="449.95"/>
  </r>
  <r>
    <s v="TRX0154"/>
    <x v="36"/>
    <s v="CUST023"/>
    <s v="Paul Baker"/>
    <s v="P001"/>
    <x v="0"/>
    <x v="0"/>
    <n v="5"/>
    <n v="899.99"/>
    <s v="Credit Card"/>
    <x v="2"/>
    <x v="0"/>
    <d v="2023-02-17T00:00:00"/>
    <n v="4499.95"/>
  </r>
  <r>
    <s v="TRX0044"/>
    <x v="36"/>
    <s v="CUST029"/>
    <s v="Edward Mitchell"/>
    <s v="P001"/>
    <x v="0"/>
    <x v="0"/>
    <n v="5"/>
    <n v="899.99"/>
    <s v="PayPal"/>
    <x v="4"/>
    <x v="1"/>
    <d v="2023-12-18T00:00:00"/>
    <n v="4499.95"/>
  </r>
  <r>
    <s v="TRX0114"/>
    <x v="17"/>
    <s v="CUST018"/>
    <s v="Barbara Young"/>
    <s v="P010"/>
    <x v="3"/>
    <x v="0"/>
    <n v="5"/>
    <n v="89.99"/>
    <s v="Debit Card"/>
    <x v="0"/>
    <x v="1"/>
    <d v="2023-08-23T00:00:00"/>
    <n v="449.95"/>
  </r>
  <r>
    <s v="TRX0244"/>
    <x v="153"/>
    <s v="CUST013"/>
    <s v="Joseph Jackson"/>
    <s v="P001"/>
    <x v="0"/>
    <x v="0"/>
    <n v="5"/>
    <n v="899.99"/>
    <s v="Debit Card"/>
    <x v="2"/>
    <x v="0"/>
    <d v="2022-12-04T00:00:00"/>
    <n v="4499.95"/>
  </r>
  <r>
    <s v="TRX0027"/>
    <x v="154"/>
    <s v="CUST028"/>
    <s v="Betty Campbell"/>
    <s v="P006"/>
    <x v="9"/>
    <x v="2"/>
    <n v="5"/>
    <n v="199.99"/>
    <s v="Cash"/>
    <x v="0"/>
    <x v="1"/>
    <d v="2023-03-06T00:00:00"/>
    <n v="999.95"/>
  </r>
  <r>
    <s v="TRX0075"/>
    <x v="101"/>
    <s v="CUST020"/>
    <s v="Margaret Wright"/>
    <s v="P009"/>
    <x v="7"/>
    <x v="0"/>
    <n v="5"/>
    <n v="249.99"/>
    <s v="PayPal"/>
    <x v="4"/>
    <x v="1"/>
    <d v="2022-08-09T00:00:00"/>
    <n v="1249.95"/>
  </r>
  <r>
    <s v="TRX0236"/>
    <x v="155"/>
    <s v="CUST044"/>
    <s v="Cynthia Price"/>
    <s v="P008"/>
    <x v="5"/>
    <x v="2"/>
    <n v="5"/>
    <n v="149.99"/>
    <s v="Credit Card"/>
    <x v="3"/>
    <x v="2"/>
    <d v="2024-01-19T00:00:00"/>
    <n v="749.95"/>
  </r>
  <r>
    <s v="TRX0132"/>
    <x v="102"/>
    <s v="CUST047"/>
    <s v="Gerald Murphy"/>
    <s v="P001"/>
    <x v="0"/>
    <x v="0"/>
    <n v="5"/>
    <n v="899.99"/>
    <s v="Debit Card"/>
    <x v="4"/>
    <x v="2"/>
    <d v="2021-11-26T00:00:00"/>
    <n v="4499.95"/>
  </r>
  <r>
    <s v="TRX0210"/>
    <x v="109"/>
    <s v="CUST004"/>
    <s v="Sarah Davis"/>
    <s v="P008"/>
    <x v="5"/>
    <x v="2"/>
    <n v="5"/>
    <n v="149.99"/>
    <s v="PayPal"/>
    <x v="3"/>
    <x v="2"/>
    <d v="2022-12-06T00:00:00"/>
    <n v="749.95"/>
  </r>
  <r>
    <s v="TRX0073"/>
    <x v="53"/>
    <s v="CUST032"/>
    <s v="Sandra Phillips"/>
    <s v="P008"/>
    <x v="5"/>
    <x v="2"/>
    <n v="5"/>
    <n v="149.99"/>
    <s v="Cash"/>
    <x v="0"/>
    <x v="2"/>
    <d v="2022-11-04T00:00:00"/>
    <n v="749.95"/>
  </r>
  <r>
    <s v="TRX0147"/>
    <x v="27"/>
    <s v="CUST036"/>
    <s v="Nancy Collins"/>
    <s v="P008"/>
    <x v="5"/>
    <x v="2"/>
    <n v="5"/>
    <n v="149.99"/>
    <s v="Cash"/>
    <x v="3"/>
    <x v="1"/>
    <d v="2024-02-25T00:00:00"/>
    <n v="749.95"/>
  </r>
  <r>
    <s v="TRX0077"/>
    <x v="18"/>
    <s v="CUST019"/>
    <s v="Daniel King"/>
    <s v="P010"/>
    <x v="3"/>
    <x v="0"/>
    <n v="5"/>
    <n v="89.99"/>
    <s v="Credit Card"/>
    <x v="4"/>
    <x v="1"/>
    <d v="2021-09-07T00:00:00"/>
    <n v="449.95"/>
  </r>
  <r>
    <s v="TRX0223"/>
    <x v="156"/>
    <s v="CUST036"/>
    <s v="Nancy Collins"/>
    <s v="P006"/>
    <x v="9"/>
    <x v="2"/>
    <n v="5"/>
    <n v="199.99"/>
    <s v="PayPal"/>
    <x v="3"/>
    <x v="0"/>
    <d v="2022-03-13T00:00:00"/>
    <n v="999.95"/>
  </r>
  <r>
    <s v="TRX0059"/>
    <x v="122"/>
    <s v="CUST016"/>
    <s v="Elizabeth Hall"/>
    <s v="P007"/>
    <x v="8"/>
    <x v="2"/>
    <n v="5"/>
    <n v="299.99"/>
    <s v="Debit Card"/>
    <x v="3"/>
    <x v="2"/>
    <d v="2021-08-23T00:00:00"/>
    <n v="1499.95"/>
  </r>
  <r>
    <s v="TRX0173"/>
    <x v="21"/>
    <s v="CUST018"/>
    <s v="Barbara Young"/>
    <s v="P002"/>
    <x v="6"/>
    <x v="0"/>
    <n v="5"/>
    <n v="699.99"/>
    <s v="Cash"/>
    <x v="4"/>
    <x v="0"/>
    <d v="2023-03-23T00:00:00"/>
    <n v="3499.95"/>
  </r>
  <r>
    <s v="TRX0167"/>
    <x v="157"/>
    <s v="CUST028"/>
    <s v="Betty Campbell"/>
    <s v="P002"/>
    <x v="6"/>
    <x v="0"/>
    <n v="5"/>
    <n v="699.99"/>
    <s v="Cash"/>
    <x v="0"/>
    <x v="1"/>
    <d v="2022-03-15T00:00:00"/>
    <n v="3499.95"/>
  </r>
  <r>
    <s v="TRX0057"/>
    <x v="158"/>
    <s v="CUST023"/>
    <s v="Paul Baker"/>
    <s v="P009"/>
    <x v="7"/>
    <x v="0"/>
    <n v="5"/>
    <n v="249.99"/>
    <s v="Credit Card"/>
    <x v="2"/>
    <x v="0"/>
    <d v="2022-11-16T00:00:00"/>
    <n v="1249.95"/>
  </r>
  <r>
    <s v="TRX0012"/>
    <x v="159"/>
    <s v="CUST045"/>
    <s v="Douglas Watson"/>
    <s v="P009"/>
    <x v="7"/>
    <x v="0"/>
    <n v="5"/>
    <n v="249.99"/>
    <s v="Credit Card"/>
    <x v="0"/>
    <x v="2"/>
    <d v="2022-11-08T00:00:00"/>
    <n v="1249.95"/>
  </r>
  <r>
    <s v="TRX0094"/>
    <x v="54"/>
    <s v="CUST017"/>
    <s v="Charles Allen"/>
    <s v="P009"/>
    <x v="7"/>
    <x v="0"/>
    <n v="5"/>
    <n v="249.99"/>
    <s v="Cash"/>
    <x v="3"/>
    <x v="1"/>
    <d v="2021-10-16T00:00:00"/>
    <n v="1249.95"/>
  </r>
  <r>
    <s v="TRX0201"/>
    <x v="54"/>
    <s v="CUST025"/>
    <s v="Mark Carter"/>
    <s v="P002"/>
    <x v="6"/>
    <x v="0"/>
    <n v="5"/>
    <n v="699.99"/>
    <s v="Debit Card"/>
    <x v="1"/>
    <x v="0"/>
    <d v="2023-01-18T00:00:00"/>
    <n v="3499.95"/>
  </r>
  <r>
    <s v="TRX0105"/>
    <x v="124"/>
    <s v="CUST048"/>
    <s v="Virginia Sanders"/>
    <s v="P007"/>
    <x v="8"/>
    <x v="2"/>
    <n v="5"/>
    <n v="299.99"/>
    <s v="Credit Card"/>
    <x v="2"/>
    <x v="2"/>
    <d v="2023-02-02T00:00:00"/>
    <n v="1499.95"/>
  </r>
  <r>
    <s v="TRX0163"/>
    <x v="26"/>
    <s v="CUST019"/>
    <s v="Daniel King"/>
    <s v="P001"/>
    <x v="0"/>
    <x v="0"/>
    <n v="5"/>
    <n v="899.99"/>
    <s v="Debit Card"/>
    <x v="4"/>
    <x v="0"/>
    <d v="2022-03-05T00:00:00"/>
    <n v="4499.95"/>
  </r>
  <r>
    <s v="TRX0237"/>
    <x v="120"/>
    <s v="CUST006"/>
    <s v="Lisa Anderson"/>
    <s v="P003"/>
    <x v="4"/>
    <x v="0"/>
    <n v="5"/>
    <n v="149.99"/>
    <s v="PayPal"/>
    <x v="4"/>
    <x v="1"/>
    <d v="2022-09-20T00:00:00"/>
    <n v="749.95"/>
  </r>
  <r>
    <s v="TRX0243"/>
    <x v="156"/>
    <s v="CUST048"/>
    <s v="Virginia Sanders"/>
    <s v="P009"/>
    <x v="7"/>
    <x v="0"/>
    <n v="5"/>
    <n v="249.99"/>
    <s v="Credit Card"/>
    <x v="2"/>
    <x v="2"/>
    <d v="2024-02-08T00:00:00"/>
    <n v="1249.95"/>
  </r>
  <r>
    <s v="TRX0179"/>
    <x v="125"/>
    <s v="CUST029"/>
    <s v="Edward Mitchell"/>
    <s v="P002"/>
    <x v="6"/>
    <x v="0"/>
    <n v="5"/>
    <n v="699.99"/>
    <s v="PayPal"/>
    <x v="2"/>
    <x v="1"/>
    <d v="2024-03-01T00:00:00"/>
    <n v="3499.95"/>
  </r>
  <r>
    <s v="TRX0083"/>
    <x v="31"/>
    <s v="CUST017"/>
    <s v="Charles Allen"/>
    <s v="P007"/>
    <x v="8"/>
    <x v="2"/>
    <n v="5"/>
    <n v="299.99"/>
    <s v="Cash"/>
    <x v="1"/>
    <x v="0"/>
    <d v="2023-08-04T00:00:00"/>
    <n v="1499.95"/>
  </r>
  <r>
    <s v="TRX0062"/>
    <x v="32"/>
    <s v="CUST016"/>
    <s v="Elizabeth Hall"/>
    <s v="P010"/>
    <x v="3"/>
    <x v="0"/>
    <n v="5"/>
    <n v="89.99"/>
    <s v="PayPal"/>
    <x v="1"/>
    <x v="1"/>
    <d v="2023-08-02T00:00:00"/>
    <n v="449.95"/>
  </r>
  <r>
    <s v="TRX0226"/>
    <x v="160"/>
    <s v="CUST039"/>
    <s v="Lawrence Reed"/>
    <s v="P002"/>
    <x v="6"/>
    <x v="0"/>
    <n v="5"/>
    <n v="699.99"/>
    <s v="Debit Card"/>
    <x v="4"/>
    <x v="1"/>
    <d v="2023-08-23T00:00:00"/>
    <n v="3499.95"/>
  </r>
  <r>
    <s v="TRX0175"/>
    <x v="72"/>
    <s v="CUST030"/>
    <s v="Helen Roberts"/>
    <s v="P009"/>
    <x v="7"/>
    <x v="0"/>
    <n v="5"/>
    <n v="249.99"/>
    <s v="Cash"/>
    <x v="4"/>
    <x v="0"/>
    <d v="2021-12-10T00:00:00"/>
    <n v="1249.95"/>
  </r>
  <r>
    <s v="TRX0016"/>
    <x v="84"/>
    <s v="CUST035"/>
    <s v="Harry Morgan"/>
    <s v="P001"/>
    <x v="0"/>
    <x v="0"/>
    <n v="5"/>
    <n v="899.99"/>
    <s v="PayPal"/>
    <x v="4"/>
    <x v="1"/>
    <d v="2024-04-07T00:00:00"/>
    <n v="4499.95"/>
  </r>
  <r>
    <s v="TRX0213"/>
    <x v="161"/>
    <s v="CUST020"/>
    <s v="Margaret Wright"/>
    <s v="P010"/>
    <x v="3"/>
    <x v="0"/>
    <n v="5"/>
    <n v="89.99"/>
    <s v="PayPal"/>
    <x v="2"/>
    <x v="2"/>
    <d v="2022-05-23T00:00:00"/>
    <n v="44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D367DA-542A-4B80-B186-E6342D35059D}"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3">
  <location ref="A3:E12" firstHeaderRow="1" firstDataRow="2" firstDataCol="1"/>
  <pivotFields count="17">
    <pivotField showAll="0"/>
    <pivotField axis="axisRow" numFmtId="164" showAll="0">
      <items count="163">
        <item sd="0" x="92"/>
        <item sd="0" x="93"/>
        <item sd="0" x="86"/>
        <item sd="0" x="87"/>
        <item sd="0" x="45"/>
        <item sd="0" x="94"/>
        <item sd="0" x="11"/>
        <item sd="0" x="0"/>
        <item sd="0" x="35"/>
        <item sd="0" x="144"/>
        <item sd="0" x="132"/>
        <item sd="0" x="134"/>
        <item sd="0" x="133"/>
        <item sd="0" x="146"/>
        <item sd="0" x="88"/>
        <item sd="0" x="46"/>
        <item sd="0" x="127"/>
        <item sd="0" x="51"/>
        <item sd="0" x="89"/>
        <item sd="0" x="1"/>
        <item sd="0" x="90"/>
        <item sd="0" x="91"/>
        <item sd="0" x="99"/>
        <item sd="0" x="149"/>
        <item sd="0" x="95"/>
        <item sd="0" x="2"/>
        <item sd="0" x="4"/>
        <item sd="0" x="150"/>
        <item sd="0" x="5"/>
        <item sd="0" x="52"/>
        <item sd="0" x="128"/>
        <item sd="0" x="152"/>
        <item sd="0" x="36"/>
        <item sd="0" x="3"/>
        <item sd="0" x="135"/>
        <item sd="0" x="10"/>
        <item sd="0" x="100"/>
        <item sd="0" x="12"/>
        <item sd="0" x="37"/>
        <item sd="0" x="6"/>
        <item sd="0" x="7"/>
        <item sd="0" x="17"/>
        <item sd="0" x="129"/>
        <item sd="0" x="8"/>
        <item sd="0" x="58"/>
        <item sd="0" x="96"/>
        <item sd="0" x="106"/>
        <item sd="0" x="9"/>
        <item sd="0" x="153"/>
        <item sd="0" x="62"/>
        <item sd="0" x="20"/>
        <item sd="0" x="38"/>
        <item sd="0" x="39"/>
        <item sd="0" x="138"/>
        <item sd="0" x="63"/>
        <item sd="0" x="66"/>
        <item sd="0" x="13"/>
        <item sd="0" x="151"/>
        <item sd="0" x="101"/>
        <item sd="0" x="154"/>
        <item sd="0" x="40"/>
        <item sd="0" x="102"/>
        <item sd="0" x="155"/>
        <item sd="0" x="41"/>
        <item sd="0" x="15"/>
        <item sd="0" x="42"/>
        <item sd="0" x="16"/>
        <item sd="0" x="43"/>
        <item sd="0" x="97"/>
        <item sd="0" x="98"/>
        <item sd="0" x="14"/>
        <item sd="0" x="107"/>
        <item sd="0" x="44"/>
        <item sd="0" x="139"/>
        <item sd="0" x="47"/>
        <item sd="0" x="18"/>
        <item sd="0" x="103"/>
        <item sd="0" x="108"/>
        <item sd="0" x="67"/>
        <item sd="0" x="23"/>
        <item sd="0" x="136"/>
        <item sd="0" x="70"/>
        <item sd="0" x="48"/>
        <item sd="0" x="112"/>
        <item sd="0" x="104"/>
        <item sd="0" x="21"/>
        <item sd="0" x="49"/>
        <item sd="0" x="105"/>
        <item sd="0" x="50"/>
        <item sd="0" x="157"/>
        <item sd="0" x="110"/>
        <item sd="0" x="158"/>
        <item sd="0" x="118"/>
        <item sd="0" x="111"/>
        <item sd="0" x="68"/>
        <item sd="0" x="22"/>
        <item sd="0" x="113"/>
        <item sd="0" x="109"/>
        <item sd="0" x="53"/>
        <item sd="0" x="137"/>
        <item sd="0" x="19"/>
        <item sd="0" x="159"/>
        <item sd="0" x="69"/>
        <item sd="0" x="54"/>
        <item sd="0" x="141"/>
        <item sd="0" x="142"/>
        <item sd="0" x="55"/>
        <item sd="0" x="119"/>
        <item sd="0" x="56"/>
        <item sd="0" x="24"/>
        <item sd="0" x="71"/>
        <item sd="0" x="26"/>
        <item sd="0" x="77"/>
        <item sd="0" x="57"/>
        <item sd="0" x="78"/>
        <item sd="0" x="79"/>
        <item sd="0" x="27"/>
        <item sd="0" x="28"/>
        <item sd="0" x="59"/>
        <item sd="0" x="29"/>
        <item sd="0" x="120"/>
        <item sd="0" x="114"/>
        <item sd="0" x="156"/>
        <item sd="0" x="115"/>
        <item sd="0" x="25"/>
        <item sd="0" x="60"/>
        <item sd="0" x="122"/>
        <item sd="0" x="145"/>
        <item sd="0" x="130"/>
        <item sd="0" x="143"/>
        <item sd="0" x="61"/>
        <item sd="0" x="64"/>
        <item sd="0" x="30"/>
        <item sd="0" x="124"/>
        <item sd="0" x="147"/>
        <item sd="0" x="121"/>
        <item sd="0" x="65"/>
        <item sd="0" x="80"/>
        <item sd="0" x="125"/>
        <item sd="0" x="116"/>
        <item sd="0" x="31"/>
        <item sd="0" x="32"/>
        <item sd="0" x="81"/>
        <item sd="0" x="82"/>
        <item sd="0" x="83"/>
        <item sd="0" x="160"/>
        <item sd="0" x="148"/>
        <item sd="0" x="72"/>
        <item sd="0" x="84"/>
        <item sd="0" x="33"/>
        <item sd="0" x="76"/>
        <item sd="0" x="85"/>
        <item sd="0" x="126"/>
        <item sd="0" x="140"/>
        <item sd="0" x="131"/>
        <item sd="0" x="161"/>
        <item sd="0" x="73"/>
        <item sd="0" x="74"/>
        <item sd="0" x="117"/>
        <item sd="0" x="123"/>
        <item sd="0" x="34"/>
        <item sd="0" x="75"/>
        <item t="default" sd="0"/>
      </items>
    </pivotField>
    <pivotField showAll="0"/>
    <pivotField showAll="0"/>
    <pivotField showAll="0"/>
    <pivotField showAll="0"/>
    <pivotField axis="axisCol" showAll="0">
      <items count="4">
        <item x="1"/>
        <item x="0"/>
        <item x="2"/>
        <item t="default"/>
      </items>
    </pivotField>
    <pivotField numFmtId="1" showAll="0"/>
    <pivotField showAll="0"/>
    <pivotField showAll="0"/>
    <pivotField axis="axisRow" showAll="0">
      <items count="6">
        <item x="3"/>
        <item x="4"/>
        <item x="0"/>
        <item x="2"/>
        <item x="1"/>
        <item t="default"/>
      </items>
    </pivotField>
    <pivotField showAll="0"/>
    <pivotField numFmtId="164"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x="0"/>
        <item x="1"/>
        <item x="2"/>
        <item x="3"/>
      </items>
    </pivotField>
  </pivotFields>
  <rowFields count="5">
    <field x="16"/>
    <field x="15"/>
    <field x="14"/>
    <field x="1"/>
    <field x="10"/>
  </rowFields>
  <rowItems count="8">
    <i>
      <x v="1"/>
    </i>
    <i r="1">
      <x v="2"/>
    </i>
    <i r="1">
      <x v="3"/>
    </i>
    <i r="1">
      <x v="4"/>
    </i>
    <i>
      <x v="2"/>
    </i>
    <i r="1">
      <x v="1"/>
    </i>
    <i r="1">
      <x v="2"/>
    </i>
    <i t="grand">
      <x/>
    </i>
  </rowItems>
  <colFields count="1">
    <field x="6"/>
  </colFields>
  <colItems count="4">
    <i>
      <x/>
    </i>
    <i>
      <x v="1"/>
    </i>
    <i>
      <x v="2"/>
    </i>
    <i t="grand">
      <x/>
    </i>
  </colItems>
  <dataFields count="1">
    <dataField name="Sum of Total_Amount" fld="13" baseField="0" baseItem="0"/>
  </dataFields>
  <chartFormats count="7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4" format="3" series="1">
      <pivotArea type="data" outline="0" fieldPosition="0">
        <references count="2">
          <reference field="4294967294" count="1" selected="0">
            <x v="0"/>
          </reference>
          <reference field="10" count="1" selected="0">
            <x v="3"/>
          </reference>
        </references>
      </pivotArea>
    </chartFormat>
    <chartFormat chart="4" format="4" series="1">
      <pivotArea type="data" outline="0" fieldPosition="0">
        <references count="2">
          <reference field="4294967294" count="1" selected="0">
            <x v="0"/>
          </reference>
          <reference field="10" count="1" selected="0">
            <x v="4"/>
          </reference>
        </references>
      </pivotArea>
    </chartFormat>
    <chartFormat chart="4" format="21" series="1">
      <pivotArea type="data" outline="0" fieldPosition="0">
        <references count="3">
          <reference field="4294967294" count="1" selected="0">
            <x v="0"/>
          </reference>
          <reference field="6" count="1" selected="0">
            <x v="1"/>
          </reference>
          <reference field="10" count="1" selected="0">
            <x v="2"/>
          </reference>
        </references>
      </pivotArea>
    </chartFormat>
    <chartFormat chart="4" format="22" series="1">
      <pivotArea type="data" outline="0" fieldPosition="0">
        <references count="3">
          <reference field="4294967294" count="1" selected="0">
            <x v="0"/>
          </reference>
          <reference field="6" count="1" selected="0">
            <x v="2"/>
          </reference>
          <reference field="10" count="1" selected="0">
            <x v="2"/>
          </reference>
        </references>
      </pivotArea>
    </chartFormat>
    <chartFormat chart="0" format="21" series="1">
      <pivotArea type="data" outline="0" fieldPosition="0">
        <references count="3">
          <reference field="4294967294" count="1" selected="0">
            <x v="0"/>
          </reference>
          <reference field="6" count="1" selected="0">
            <x v="1"/>
          </reference>
          <reference field="10" count="1" selected="0">
            <x v="2"/>
          </reference>
        </references>
      </pivotArea>
    </chartFormat>
    <chartFormat chart="0" format="22" series="1">
      <pivotArea type="data" outline="0" fieldPosition="0">
        <references count="3">
          <reference field="4294967294" count="1" selected="0">
            <x v="0"/>
          </reference>
          <reference field="6" count="1" selected="0">
            <x v="2"/>
          </reference>
          <reference field="10" count="1" selected="0">
            <x v="2"/>
          </reference>
        </references>
      </pivotArea>
    </chartFormat>
    <chartFormat chart="4" format="23" series="1">
      <pivotArea type="data" outline="0" fieldPosition="0">
        <references count="3">
          <reference field="4294967294" count="1" selected="0">
            <x v="0"/>
          </reference>
          <reference field="6" count="1" selected="0">
            <x v="0"/>
          </reference>
          <reference field="10" count="1" selected="0">
            <x v="3"/>
          </reference>
        </references>
      </pivotArea>
    </chartFormat>
    <chartFormat chart="4" format="24" series="1">
      <pivotArea type="data" outline="0" fieldPosition="0">
        <references count="3">
          <reference field="4294967294" count="1" selected="0">
            <x v="0"/>
          </reference>
          <reference field="6" count="1" selected="0">
            <x v="0"/>
          </reference>
          <reference field="10" count="1" selected="0">
            <x v="4"/>
          </reference>
        </references>
      </pivotArea>
    </chartFormat>
    <chartFormat chart="4" format="25" series="1">
      <pivotArea type="data" outline="0" fieldPosition="0">
        <references count="3">
          <reference field="4294967294" count="1" selected="0">
            <x v="0"/>
          </reference>
          <reference field="6" count="1" selected="0">
            <x v="1"/>
          </reference>
          <reference field="10" count="1" selected="0">
            <x v="0"/>
          </reference>
        </references>
      </pivotArea>
    </chartFormat>
    <chartFormat chart="4" format="26" series="1">
      <pivotArea type="data" outline="0" fieldPosition="0">
        <references count="3">
          <reference field="4294967294" count="1" selected="0">
            <x v="0"/>
          </reference>
          <reference field="6" count="1" selected="0">
            <x v="1"/>
          </reference>
          <reference field="10" count="1" selected="0">
            <x v="1"/>
          </reference>
        </references>
      </pivotArea>
    </chartFormat>
    <chartFormat chart="4" format="27" series="1">
      <pivotArea type="data" outline="0" fieldPosition="0">
        <references count="3">
          <reference field="4294967294" count="1" selected="0">
            <x v="0"/>
          </reference>
          <reference field="6" count="1" selected="0">
            <x v="1"/>
          </reference>
          <reference field="10" count="1" selected="0">
            <x v="3"/>
          </reference>
        </references>
      </pivotArea>
    </chartFormat>
    <chartFormat chart="4" format="28" series="1">
      <pivotArea type="data" outline="0" fieldPosition="0">
        <references count="3">
          <reference field="4294967294" count="1" selected="0">
            <x v="0"/>
          </reference>
          <reference field="6" count="1" selected="0">
            <x v="1"/>
          </reference>
          <reference field="10" count="1" selected="0">
            <x v="4"/>
          </reference>
        </references>
      </pivotArea>
    </chartFormat>
    <chartFormat chart="4" format="29" series="1">
      <pivotArea type="data" outline="0" fieldPosition="0">
        <references count="3">
          <reference field="4294967294" count="1" selected="0">
            <x v="0"/>
          </reference>
          <reference field="6" count="1" selected="0">
            <x v="2"/>
          </reference>
          <reference field="10" count="1" selected="0">
            <x v="0"/>
          </reference>
        </references>
      </pivotArea>
    </chartFormat>
    <chartFormat chart="4" format="30" series="1">
      <pivotArea type="data" outline="0" fieldPosition="0">
        <references count="3">
          <reference field="4294967294" count="1" selected="0">
            <x v="0"/>
          </reference>
          <reference field="6" count="1" selected="0">
            <x v="2"/>
          </reference>
          <reference field="10" count="1" selected="0">
            <x v="1"/>
          </reference>
        </references>
      </pivotArea>
    </chartFormat>
    <chartFormat chart="4" format="31" series="1">
      <pivotArea type="data" outline="0" fieldPosition="0">
        <references count="3">
          <reference field="4294967294" count="1" selected="0">
            <x v="0"/>
          </reference>
          <reference field="6" count="1" selected="0">
            <x v="2"/>
          </reference>
          <reference field="10" count="1" selected="0">
            <x v="3"/>
          </reference>
        </references>
      </pivotArea>
    </chartFormat>
    <chartFormat chart="4" format="32" series="1">
      <pivotArea type="data" outline="0" fieldPosition="0">
        <references count="3">
          <reference field="4294967294" count="1" selected="0">
            <x v="0"/>
          </reference>
          <reference field="6" count="1" selected="0">
            <x v="2"/>
          </reference>
          <reference field="10" count="1" selected="0">
            <x v="4"/>
          </reference>
        </references>
      </pivotArea>
    </chartFormat>
    <chartFormat chart="0" format="23" series="1">
      <pivotArea type="data" outline="0" fieldPosition="0">
        <references count="3">
          <reference field="4294967294" count="1" selected="0">
            <x v="0"/>
          </reference>
          <reference field="6" count="1" selected="0">
            <x v="0"/>
          </reference>
          <reference field="10" count="1" selected="0">
            <x v="3"/>
          </reference>
        </references>
      </pivotArea>
    </chartFormat>
    <chartFormat chart="0" format="24" series="1">
      <pivotArea type="data" outline="0" fieldPosition="0">
        <references count="3">
          <reference field="4294967294" count="1" selected="0">
            <x v="0"/>
          </reference>
          <reference field="6" count="1" selected="0">
            <x v="0"/>
          </reference>
          <reference field="10" count="1" selected="0">
            <x v="4"/>
          </reference>
        </references>
      </pivotArea>
    </chartFormat>
    <chartFormat chart="0" format="25" series="1">
      <pivotArea type="data" outline="0" fieldPosition="0">
        <references count="3">
          <reference field="4294967294" count="1" selected="0">
            <x v="0"/>
          </reference>
          <reference field="6" count="1" selected="0">
            <x v="1"/>
          </reference>
          <reference field="10" count="1" selected="0">
            <x v="0"/>
          </reference>
        </references>
      </pivotArea>
    </chartFormat>
    <chartFormat chart="0" format="26" series="1">
      <pivotArea type="data" outline="0" fieldPosition="0">
        <references count="3">
          <reference field="4294967294" count="1" selected="0">
            <x v="0"/>
          </reference>
          <reference field="6" count="1" selected="0">
            <x v="1"/>
          </reference>
          <reference field="10" count="1" selected="0">
            <x v="1"/>
          </reference>
        </references>
      </pivotArea>
    </chartFormat>
    <chartFormat chart="0" format="27" series="1">
      <pivotArea type="data" outline="0" fieldPosition="0">
        <references count="3">
          <reference field="4294967294" count="1" selected="0">
            <x v="0"/>
          </reference>
          <reference field="6" count="1" selected="0">
            <x v="1"/>
          </reference>
          <reference field="10" count="1" selected="0">
            <x v="3"/>
          </reference>
        </references>
      </pivotArea>
    </chartFormat>
    <chartFormat chart="0" format="28" series="1">
      <pivotArea type="data" outline="0" fieldPosition="0">
        <references count="3">
          <reference field="4294967294" count="1" selected="0">
            <x v="0"/>
          </reference>
          <reference field="6" count="1" selected="0">
            <x v="1"/>
          </reference>
          <reference field="10" count="1" selected="0">
            <x v="4"/>
          </reference>
        </references>
      </pivotArea>
    </chartFormat>
    <chartFormat chart="0" format="29" series="1">
      <pivotArea type="data" outline="0" fieldPosition="0">
        <references count="3">
          <reference field="4294967294" count="1" selected="0">
            <x v="0"/>
          </reference>
          <reference field="6" count="1" selected="0">
            <x v="2"/>
          </reference>
          <reference field="10" count="1" selected="0">
            <x v="0"/>
          </reference>
        </references>
      </pivotArea>
    </chartFormat>
    <chartFormat chart="0" format="30" series="1">
      <pivotArea type="data" outline="0" fieldPosition="0">
        <references count="3">
          <reference field="4294967294" count="1" selected="0">
            <x v="0"/>
          </reference>
          <reference field="6" count="1" selected="0">
            <x v="2"/>
          </reference>
          <reference field="10" count="1" selected="0">
            <x v="1"/>
          </reference>
        </references>
      </pivotArea>
    </chartFormat>
    <chartFormat chart="0" format="31" series="1">
      <pivotArea type="data" outline="0" fieldPosition="0">
        <references count="3">
          <reference field="4294967294" count="1" selected="0">
            <x v="0"/>
          </reference>
          <reference field="6" count="1" selected="0">
            <x v="2"/>
          </reference>
          <reference field="10" count="1" selected="0">
            <x v="3"/>
          </reference>
        </references>
      </pivotArea>
    </chartFormat>
    <chartFormat chart="0" format="32" series="1">
      <pivotArea type="data" outline="0" fieldPosition="0">
        <references count="3">
          <reference field="4294967294" count="1" selected="0">
            <x v="0"/>
          </reference>
          <reference field="6" count="1" selected="0">
            <x v="2"/>
          </reference>
          <reference field="10" count="1" selected="0">
            <x v="4"/>
          </reference>
        </references>
      </pivotArea>
    </chartFormat>
    <chartFormat chart="4" format="33" series="1">
      <pivotArea type="data" outline="0" fieldPosition="0">
        <references count="2">
          <reference field="4294967294" count="1" selected="0">
            <x v="0"/>
          </reference>
          <reference field="6" count="1" selected="0">
            <x v="1"/>
          </reference>
        </references>
      </pivotArea>
    </chartFormat>
    <chartFormat chart="0" format="33" series="1">
      <pivotArea type="data" outline="0" fieldPosition="0">
        <references count="2">
          <reference field="4294967294" count="1" selected="0">
            <x v="0"/>
          </reference>
          <reference field="6" count="1" selected="0">
            <x v="1"/>
          </reference>
        </references>
      </pivotArea>
    </chartFormat>
    <chartFormat chart="7" format="0" series="1">
      <pivotArea type="data" outline="0" fieldPosition="0">
        <references count="2">
          <reference field="4294967294" count="1" selected="0">
            <x v="0"/>
          </reference>
          <reference field="6" count="1" selected="0">
            <x v="1"/>
          </reference>
        </references>
      </pivotArea>
    </chartFormat>
    <chartFormat chart="7" format="1" series="1">
      <pivotArea type="data" outline="0" fieldPosition="0">
        <references count="2">
          <reference field="4294967294" count="1" selected="0">
            <x v="0"/>
          </reference>
          <reference field="6" count="1" selected="0">
            <x v="2"/>
          </reference>
        </references>
      </pivotArea>
    </chartFormat>
    <chartFormat chart="7" format="2" series="1">
      <pivotArea type="data" outline="0" fieldPosition="0">
        <references count="2">
          <reference field="4294967294" count="1" selected="0">
            <x v="0"/>
          </reference>
          <reference field="6" count="1" selected="0">
            <x v="0"/>
          </reference>
        </references>
      </pivotArea>
    </chartFormat>
    <chartFormat chart="4" format="34" series="1">
      <pivotArea type="data" outline="0" fieldPosition="0">
        <references count="2">
          <reference field="4294967294" count="1" selected="0">
            <x v="0"/>
          </reference>
          <reference field="6" count="1" selected="0">
            <x v="2"/>
          </reference>
        </references>
      </pivotArea>
    </chartFormat>
    <chartFormat chart="4" format="35" series="1">
      <pivotArea type="data" outline="0" fieldPosition="0">
        <references count="2">
          <reference field="4294967294" count="1" selected="0">
            <x v="0"/>
          </reference>
          <reference field="6" count="1" selected="0">
            <x v="0"/>
          </reference>
        </references>
      </pivotArea>
    </chartFormat>
    <chartFormat chart="0" format="34" series="1">
      <pivotArea type="data" outline="0" fieldPosition="0">
        <references count="2">
          <reference field="4294967294" count="1" selected="0">
            <x v="0"/>
          </reference>
          <reference field="6" count="1" selected="0">
            <x v="2"/>
          </reference>
        </references>
      </pivotArea>
    </chartFormat>
    <chartFormat chart="0" format="35" series="1">
      <pivotArea type="data" outline="0" fieldPosition="0">
        <references count="2">
          <reference field="4294967294" count="1" selected="0">
            <x v="0"/>
          </reference>
          <reference field="6" count="1" selected="0">
            <x v="0"/>
          </reference>
        </references>
      </pivotArea>
    </chartFormat>
    <chartFormat chart="7" format="3" series="1">
      <pivotArea type="data" outline="0" fieldPosition="0">
        <references count="1">
          <reference field="4294967294" count="1" selected="0">
            <x v="0"/>
          </reference>
        </references>
      </pivotArea>
    </chartFormat>
    <chartFormat chart="4" format="36" series="1">
      <pivotArea type="data" outline="0" fieldPosition="0">
        <references count="1">
          <reference field="4294967294" count="1" selected="0">
            <x v="0"/>
          </reference>
        </references>
      </pivotArea>
    </chartFormat>
    <chartFormat chart="0" format="36" series="1">
      <pivotArea type="data" outline="0" fieldPosition="0">
        <references count="1">
          <reference field="4294967294" count="1" selected="0">
            <x v="0"/>
          </reference>
        </references>
      </pivotArea>
    </chartFormat>
    <chartFormat chart="30" format="48" series="1">
      <pivotArea type="data" outline="0" fieldPosition="0">
        <references count="2">
          <reference field="4294967294" count="1" selected="0">
            <x v="0"/>
          </reference>
          <reference field="6" count="1" selected="0">
            <x v="0"/>
          </reference>
        </references>
      </pivotArea>
    </chartFormat>
    <chartFormat chart="30" format="49" series="1">
      <pivotArea type="data" outline="0" fieldPosition="0">
        <references count="2">
          <reference field="4294967294" count="1" selected="0">
            <x v="0"/>
          </reference>
          <reference field="6" count="1" selected="0">
            <x v="1"/>
          </reference>
        </references>
      </pivotArea>
    </chartFormat>
    <chartFormat chart="30" format="50" series="1">
      <pivotArea type="data" outline="0" fieldPosition="0">
        <references count="2">
          <reference field="4294967294" count="1" selected="0">
            <x v="0"/>
          </reference>
          <reference field="6" count="1" selected="0">
            <x v="2"/>
          </reference>
        </references>
      </pivotArea>
    </chartFormat>
    <chartFormat chart="31" format="81" series="1">
      <pivotArea type="data" outline="0" fieldPosition="0">
        <references count="2">
          <reference field="4294967294" count="1" selected="0">
            <x v="0"/>
          </reference>
          <reference field="6" count="1" selected="0">
            <x v="0"/>
          </reference>
        </references>
      </pivotArea>
    </chartFormat>
    <chartFormat chart="31" format="82">
      <pivotArea type="data" outline="0" fieldPosition="0">
        <references count="4">
          <reference field="4294967294" count="1" selected="0">
            <x v="0"/>
          </reference>
          <reference field="6" count="1" selected="0">
            <x v="0"/>
          </reference>
          <reference field="15" count="1" selected="0">
            <x v="2"/>
          </reference>
          <reference field="16" count="1" selected="0">
            <x v="1"/>
          </reference>
        </references>
      </pivotArea>
    </chartFormat>
    <chartFormat chart="31" format="83">
      <pivotArea type="data" outline="0" fieldPosition="0">
        <references count="4">
          <reference field="4294967294" count="1" selected="0">
            <x v="0"/>
          </reference>
          <reference field="6" count="1" selected="0">
            <x v="0"/>
          </reference>
          <reference field="15" count="1" selected="0">
            <x v="3"/>
          </reference>
          <reference field="16" count="1" selected="0">
            <x v="1"/>
          </reference>
        </references>
      </pivotArea>
    </chartFormat>
    <chartFormat chart="31" format="84">
      <pivotArea type="data" outline="0" fieldPosition="0">
        <references count="4">
          <reference field="4294967294" count="1" selected="0">
            <x v="0"/>
          </reference>
          <reference field="6" count="1" selected="0">
            <x v="0"/>
          </reference>
          <reference field="15" count="1" selected="0">
            <x v="4"/>
          </reference>
          <reference field="16" count="1" selected="0">
            <x v="1"/>
          </reference>
        </references>
      </pivotArea>
    </chartFormat>
    <chartFormat chart="31" format="85">
      <pivotArea type="data" outline="0" fieldPosition="0">
        <references count="4">
          <reference field="4294967294" count="1" selected="0">
            <x v="0"/>
          </reference>
          <reference field="6" count="1" selected="0">
            <x v="0"/>
          </reference>
          <reference field="15" count="1" selected="0">
            <x v="1"/>
          </reference>
          <reference field="16" count="1" selected="0">
            <x v="2"/>
          </reference>
        </references>
      </pivotArea>
    </chartFormat>
    <chartFormat chart="31" format="86">
      <pivotArea type="data" outline="0" fieldPosition="0">
        <references count="4">
          <reference field="4294967294" count="1" selected="0">
            <x v="0"/>
          </reference>
          <reference field="6" count="1" selected="0">
            <x v="0"/>
          </reference>
          <reference field="15" count="1" selected="0">
            <x v="2"/>
          </reference>
          <reference field="16" count="1" selected="0">
            <x v="2"/>
          </reference>
        </references>
      </pivotArea>
    </chartFormat>
    <chartFormat chart="31" format="87" series="1">
      <pivotArea type="data" outline="0" fieldPosition="0">
        <references count="2">
          <reference field="4294967294" count="1" selected="0">
            <x v="0"/>
          </reference>
          <reference field="6" count="1" selected="0">
            <x v="1"/>
          </reference>
        </references>
      </pivotArea>
    </chartFormat>
    <chartFormat chart="31" format="88">
      <pivotArea type="data" outline="0" fieldPosition="0">
        <references count="4">
          <reference field="4294967294" count="1" selected="0">
            <x v="0"/>
          </reference>
          <reference field="6" count="1" selected="0">
            <x v="1"/>
          </reference>
          <reference field="15" count="1" selected="0">
            <x v="2"/>
          </reference>
          <reference field="16" count="1" selected="0">
            <x v="1"/>
          </reference>
        </references>
      </pivotArea>
    </chartFormat>
    <chartFormat chart="31" format="89">
      <pivotArea type="data" outline="0" fieldPosition="0">
        <references count="4">
          <reference field="4294967294" count="1" selected="0">
            <x v="0"/>
          </reference>
          <reference field="6" count="1" selected="0">
            <x v="1"/>
          </reference>
          <reference field="15" count="1" selected="0">
            <x v="3"/>
          </reference>
          <reference field="16" count="1" selected="0">
            <x v="1"/>
          </reference>
        </references>
      </pivotArea>
    </chartFormat>
    <chartFormat chart="31" format="90">
      <pivotArea type="data" outline="0" fieldPosition="0">
        <references count="4">
          <reference field="4294967294" count="1" selected="0">
            <x v="0"/>
          </reference>
          <reference field="6" count="1" selected="0">
            <x v="1"/>
          </reference>
          <reference field="15" count="1" selected="0">
            <x v="4"/>
          </reference>
          <reference field="16" count="1" selected="0">
            <x v="1"/>
          </reference>
        </references>
      </pivotArea>
    </chartFormat>
    <chartFormat chart="31" format="91">
      <pivotArea type="data" outline="0" fieldPosition="0">
        <references count="4">
          <reference field="4294967294" count="1" selected="0">
            <x v="0"/>
          </reference>
          <reference field="6" count="1" selected="0">
            <x v="1"/>
          </reference>
          <reference field="15" count="1" selected="0">
            <x v="1"/>
          </reference>
          <reference field="16" count="1" selected="0">
            <x v="2"/>
          </reference>
        </references>
      </pivotArea>
    </chartFormat>
    <chartFormat chart="31" format="92">
      <pivotArea type="data" outline="0" fieldPosition="0">
        <references count="4">
          <reference field="4294967294" count="1" selected="0">
            <x v="0"/>
          </reference>
          <reference field="6" count="1" selected="0">
            <x v="1"/>
          </reference>
          <reference field="15" count="1" selected="0">
            <x v="2"/>
          </reference>
          <reference field="16" count="1" selected="0">
            <x v="2"/>
          </reference>
        </references>
      </pivotArea>
    </chartFormat>
    <chartFormat chart="31" format="93" series="1">
      <pivotArea type="data" outline="0" fieldPosition="0">
        <references count="2">
          <reference field="4294967294" count="1" selected="0">
            <x v="0"/>
          </reference>
          <reference field="6" count="1" selected="0">
            <x v="2"/>
          </reference>
        </references>
      </pivotArea>
    </chartFormat>
    <chartFormat chart="31" format="94">
      <pivotArea type="data" outline="0" fieldPosition="0">
        <references count="4">
          <reference field="4294967294" count="1" selected="0">
            <x v="0"/>
          </reference>
          <reference field="6" count="1" selected="0">
            <x v="2"/>
          </reference>
          <reference field="15" count="1" selected="0">
            <x v="2"/>
          </reference>
          <reference field="16" count="1" selected="0">
            <x v="1"/>
          </reference>
        </references>
      </pivotArea>
    </chartFormat>
    <chartFormat chart="31" format="95">
      <pivotArea type="data" outline="0" fieldPosition="0">
        <references count="4">
          <reference field="4294967294" count="1" selected="0">
            <x v="0"/>
          </reference>
          <reference field="6" count="1" selected="0">
            <x v="2"/>
          </reference>
          <reference field="15" count="1" selected="0">
            <x v="3"/>
          </reference>
          <reference field="16" count="1" selected="0">
            <x v="1"/>
          </reference>
        </references>
      </pivotArea>
    </chartFormat>
    <chartFormat chart="31" format="96">
      <pivotArea type="data" outline="0" fieldPosition="0">
        <references count="4">
          <reference field="4294967294" count="1" selected="0">
            <x v="0"/>
          </reference>
          <reference field="6" count="1" selected="0">
            <x v="2"/>
          </reference>
          <reference field="15" count="1" selected="0">
            <x v="4"/>
          </reference>
          <reference field="16" count="1" selected="0">
            <x v="1"/>
          </reference>
        </references>
      </pivotArea>
    </chartFormat>
    <chartFormat chart="31" format="97">
      <pivotArea type="data" outline="0" fieldPosition="0">
        <references count="4">
          <reference field="4294967294" count="1" selected="0">
            <x v="0"/>
          </reference>
          <reference field="6" count="1" selected="0">
            <x v="2"/>
          </reference>
          <reference field="15" count="1" selected="0">
            <x v="1"/>
          </reference>
          <reference field="16" count="1" selected="0">
            <x v="2"/>
          </reference>
        </references>
      </pivotArea>
    </chartFormat>
    <chartFormat chart="31" format="98">
      <pivotArea type="data" outline="0" fieldPosition="0">
        <references count="4">
          <reference field="4294967294" count="1" selected="0">
            <x v="0"/>
          </reference>
          <reference field="6" count="1" selected="0">
            <x v="2"/>
          </reference>
          <reference field="15" count="1" selected="0">
            <x v="2"/>
          </reference>
          <reference field="16" count="1" selected="0">
            <x v="2"/>
          </reference>
        </references>
      </pivotArea>
    </chartFormat>
    <chartFormat chart="32" format="15" series="1">
      <pivotArea type="data" outline="0" fieldPosition="0">
        <references count="2">
          <reference field="4294967294" count="1" selected="0">
            <x v="0"/>
          </reference>
          <reference field="6" count="1" selected="0">
            <x v="0"/>
          </reference>
        </references>
      </pivotArea>
    </chartFormat>
    <chartFormat chart="32" format="16" series="1">
      <pivotArea type="data" outline="0" fieldPosition="0">
        <references count="2">
          <reference field="4294967294" count="1" selected="0">
            <x v="0"/>
          </reference>
          <reference field="6" count="1" selected="0">
            <x v="1"/>
          </reference>
        </references>
      </pivotArea>
    </chartFormat>
    <chartFormat chart="32" format="17" series="1">
      <pivotArea type="data" outline="0" fieldPosition="0">
        <references count="2">
          <reference field="4294967294" count="1" selected="0">
            <x v="0"/>
          </reference>
          <reference field="6" count="1" selected="0">
            <x v="2"/>
          </reference>
        </references>
      </pivotArea>
    </chartFormat>
    <chartFormat chart="4" format="39">
      <pivotArea type="data" outline="0" fieldPosition="0">
        <references count="4">
          <reference field="4294967294" count="1" selected="0">
            <x v="0"/>
          </reference>
          <reference field="6" count="1" selected="0">
            <x v="0"/>
          </reference>
          <reference field="15" count="1" selected="0">
            <x v="2"/>
          </reference>
          <reference field="16" count="1" selected="0">
            <x v="1"/>
          </reference>
        </references>
      </pivotArea>
    </chartFormat>
    <chartFormat chart="4" format="40">
      <pivotArea type="data" outline="0" fieldPosition="0">
        <references count="4">
          <reference field="4294967294" count="1" selected="0">
            <x v="0"/>
          </reference>
          <reference field="6" count="1" selected="0">
            <x v="0"/>
          </reference>
          <reference field="15" count="1" selected="0">
            <x v="3"/>
          </reference>
          <reference field="16" count="1" selected="0">
            <x v="1"/>
          </reference>
        </references>
      </pivotArea>
    </chartFormat>
    <chartFormat chart="4" format="41">
      <pivotArea type="data" outline="0" fieldPosition="0">
        <references count="4">
          <reference field="4294967294" count="1" selected="0">
            <x v="0"/>
          </reference>
          <reference field="6" count="1" selected="0">
            <x v="0"/>
          </reference>
          <reference field="15" count="1" selected="0">
            <x v="4"/>
          </reference>
          <reference field="16" count="1" selected="0">
            <x v="1"/>
          </reference>
        </references>
      </pivotArea>
    </chartFormat>
    <chartFormat chart="4" format="42">
      <pivotArea type="data" outline="0" fieldPosition="0">
        <references count="4">
          <reference field="4294967294" count="1" selected="0">
            <x v="0"/>
          </reference>
          <reference field="6" count="1" selected="0">
            <x v="1"/>
          </reference>
          <reference field="15" count="1" selected="0">
            <x v="2"/>
          </reference>
          <reference field="16" count="1" selected="0">
            <x v="1"/>
          </reference>
        </references>
      </pivotArea>
    </chartFormat>
    <chartFormat chart="4" format="43">
      <pivotArea type="data" outline="0" fieldPosition="0">
        <references count="4">
          <reference field="4294967294" count="1" selected="0">
            <x v="0"/>
          </reference>
          <reference field="6" count="1" selected="0">
            <x v="1"/>
          </reference>
          <reference field="15" count="1" selected="0">
            <x v="3"/>
          </reference>
          <reference field="16" count="1" selected="0">
            <x v="1"/>
          </reference>
        </references>
      </pivotArea>
    </chartFormat>
    <chartFormat chart="4" format="44">
      <pivotArea type="data" outline="0" fieldPosition="0">
        <references count="4">
          <reference field="4294967294" count="1" selected="0">
            <x v="0"/>
          </reference>
          <reference field="6" count="1" selected="0">
            <x v="1"/>
          </reference>
          <reference field="15" count="1" selected="0">
            <x v="4"/>
          </reference>
          <reference field="16" count="1" selected="0">
            <x v="1"/>
          </reference>
        </references>
      </pivotArea>
    </chartFormat>
    <chartFormat chart="4" format="45">
      <pivotArea type="data" outline="0" fieldPosition="0">
        <references count="4">
          <reference field="4294967294" count="1" selected="0">
            <x v="0"/>
          </reference>
          <reference field="6" count="1" selected="0">
            <x v="2"/>
          </reference>
          <reference field="15" count="1" selected="0">
            <x v="2"/>
          </reference>
          <reference field="16" count="1" selected="0">
            <x v="1"/>
          </reference>
        </references>
      </pivotArea>
    </chartFormat>
    <chartFormat chart="4" format="46">
      <pivotArea type="data" outline="0" fieldPosition="0">
        <references count="4">
          <reference field="4294967294" count="1" selected="0">
            <x v="0"/>
          </reference>
          <reference field="6" count="1" selected="0">
            <x v="2"/>
          </reference>
          <reference field="15" count="1" selected="0">
            <x v="3"/>
          </reference>
          <reference field="16" count="1" selected="0">
            <x v="1"/>
          </reference>
        </references>
      </pivotArea>
    </chartFormat>
    <chartFormat chart="4" format="47">
      <pivotArea type="data" outline="0" fieldPosition="0">
        <references count="4">
          <reference field="4294967294" count="1" selected="0">
            <x v="0"/>
          </reference>
          <reference field="6" count="1" selected="0">
            <x v="2"/>
          </reference>
          <reference field="15" count="1" selected="0">
            <x v="4"/>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31137D-DDBE-4B94-91A7-B026FAEBE1A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2:E36" firstHeaderRow="1" firstDataRow="2" firstDataCol="1"/>
  <pivotFields count="17">
    <pivotField showAll="0"/>
    <pivotField axis="axisRow" numFmtId="164" showAll="0">
      <items count="163">
        <item x="92"/>
        <item x="93"/>
        <item x="86"/>
        <item x="87"/>
        <item x="45"/>
        <item x="94"/>
        <item x="11"/>
        <item x="0"/>
        <item x="35"/>
        <item x="144"/>
        <item x="132"/>
        <item x="134"/>
        <item x="133"/>
        <item x="146"/>
        <item x="88"/>
        <item x="46"/>
        <item x="127"/>
        <item x="51"/>
        <item x="89"/>
        <item x="1"/>
        <item x="90"/>
        <item x="91"/>
        <item x="99"/>
        <item x="149"/>
        <item x="95"/>
        <item x="2"/>
        <item x="4"/>
        <item x="150"/>
        <item x="5"/>
        <item x="52"/>
        <item x="128"/>
        <item x="152"/>
        <item x="36"/>
        <item x="3"/>
        <item x="135"/>
        <item x="10"/>
        <item x="100"/>
        <item x="12"/>
        <item x="37"/>
        <item x="6"/>
        <item x="7"/>
        <item x="17"/>
        <item x="129"/>
        <item x="8"/>
        <item x="58"/>
        <item x="96"/>
        <item x="106"/>
        <item x="9"/>
        <item x="153"/>
        <item x="62"/>
        <item x="20"/>
        <item x="38"/>
        <item x="39"/>
        <item x="138"/>
        <item x="63"/>
        <item x="66"/>
        <item x="13"/>
        <item x="151"/>
        <item x="101"/>
        <item x="154"/>
        <item x="40"/>
        <item x="102"/>
        <item x="155"/>
        <item x="41"/>
        <item x="15"/>
        <item x="42"/>
        <item x="16"/>
        <item x="43"/>
        <item x="97"/>
        <item x="98"/>
        <item x="14"/>
        <item x="107"/>
        <item x="44"/>
        <item x="139"/>
        <item x="47"/>
        <item x="18"/>
        <item x="103"/>
        <item x="108"/>
        <item x="67"/>
        <item x="23"/>
        <item x="136"/>
        <item x="70"/>
        <item x="48"/>
        <item x="112"/>
        <item x="104"/>
        <item x="21"/>
        <item x="49"/>
        <item x="105"/>
        <item x="50"/>
        <item x="157"/>
        <item x="110"/>
        <item x="158"/>
        <item x="118"/>
        <item x="111"/>
        <item x="68"/>
        <item x="22"/>
        <item x="113"/>
        <item x="109"/>
        <item x="53"/>
        <item x="137"/>
        <item x="19"/>
        <item x="159"/>
        <item x="69"/>
        <item x="54"/>
        <item x="141"/>
        <item x="142"/>
        <item x="55"/>
        <item x="119"/>
        <item x="56"/>
        <item x="24"/>
        <item x="71"/>
        <item x="26"/>
        <item x="77"/>
        <item x="57"/>
        <item x="78"/>
        <item x="79"/>
        <item x="27"/>
        <item x="28"/>
        <item x="59"/>
        <item x="29"/>
        <item x="120"/>
        <item x="114"/>
        <item x="156"/>
        <item x="115"/>
        <item x="25"/>
        <item x="60"/>
        <item x="122"/>
        <item x="145"/>
        <item x="130"/>
        <item x="143"/>
        <item x="61"/>
        <item x="64"/>
        <item x="30"/>
        <item x="124"/>
        <item x="147"/>
        <item x="121"/>
        <item x="65"/>
        <item x="80"/>
        <item x="125"/>
        <item x="116"/>
        <item x="31"/>
        <item x="32"/>
        <item x="81"/>
        <item x="82"/>
        <item x="83"/>
        <item x="160"/>
        <item x="148"/>
        <item x="72"/>
        <item x="84"/>
        <item x="33"/>
        <item x="76"/>
        <item x="85"/>
        <item x="126"/>
        <item x="140"/>
        <item x="131"/>
        <item x="161"/>
        <item x="73"/>
        <item x="74"/>
        <item x="117"/>
        <item x="123"/>
        <item x="34"/>
        <item x="75"/>
        <item t="default"/>
      </items>
    </pivotField>
    <pivotField showAll="0"/>
    <pivotField showAll="0"/>
    <pivotField showAll="0"/>
    <pivotField showAll="0"/>
    <pivotField axis="axisCol" showAll="0">
      <items count="4">
        <item x="1"/>
        <item x="0"/>
        <item x="2"/>
        <item t="default"/>
      </items>
    </pivotField>
    <pivotField dataField="1" numFmtId="1" showAll="0"/>
    <pivotField showAll="0"/>
    <pivotField showAll="0"/>
    <pivotField showAll="0"/>
    <pivotField showAll="0"/>
    <pivotField numFmtId="164"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6"/>
    <field x="15"/>
    <field x="14"/>
    <field x="1"/>
  </rowFields>
  <rowItems count="3">
    <i>
      <x v="1"/>
    </i>
    <i>
      <x v="2"/>
    </i>
    <i t="grand">
      <x/>
    </i>
  </rowItems>
  <colFields count="1">
    <field x="6"/>
  </colFields>
  <colItems count="4">
    <i>
      <x/>
    </i>
    <i>
      <x v="1"/>
    </i>
    <i>
      <x v="2"/>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23D4CB-9BE9-4713-9F20-248FA9506A98}"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R3:S17" firstHeaderRow="1" firstDataRow="1" firstDataCol="1"/>
  <pivotFields count="17">
    <pivotField showAll="0"/>
    <pivotField numFmtId="164" showAll="0">
      <items count="163">
        <item x="92"/>
        <item x="93"/>
        <item x="86"/>
        <item x="87"/>
        <item x="45"/>
        <item x="94"/>
        <item x="11"/>
        <item x="0"/>
        <item x="35"/>
        <item x="144"/>
        <item x="132"/>
        <item x="134"/>
        <item x="133"/>
        <item x="146"/>
        <item x="88"/>
        <item x="46"/>
        <item x="127"/>
        <item x="51"/>
        <item x="89"/>
        <item x="1"/>
        <item x="90"/>
        <item x="91"/>
        <item x="99"/>
        <item x="149"/>
        <item x="95"/>
        <item x="2"/>
        <item x="4"/>
        <item x="150"/>
        <item x="5"/>
        <item x="52"/>
        <item x="128"/>
        <item x="152"/>
        <item x="36"/>
        <item x="3"/>
        <item x="135"/>
        <item x="10"/>
        <item x="100"/>
        <item x="12"/>
        <item x="37"/>
        <item x="6"/>
        <item x="7"/>
        <item x="17"/>
        <item x="129"/>
        <item x="8"/>
        <item x="58"/>
        <item x="96"/>
        <item x="106"/>
        <item x="9"/>
        <item x="153"/>
        <item x="62"/>
        <item x="20"/>
        <item x="38"/>
        <item x="39"/>
        <item x="138"/>
        <item x="63"/>
        <item x="66"/>
        <item x="13"/>
        <item x="151"/>
        <item x="101"/>
        <item x="154"/>
        <item x="40"/>
        <item x="102"/>
        <item x="155"/>
        <item x="41"/>
        <item x="15"/>
        <item x="42"/>
        <item x="16"/>
        <item x="43"/>
        <item x="97"/>
        <item x="98"/>
        <item x="14"/>
        <item x="107"/>
        <item x="44"/>
        <item x="139"/>
        <item x="47"/>
        <item x="18"/>
        <item x="103"/>
        <item x="108"/>
        <item x="67"/>
        <item x="23"/>
        <item x="136"/>
        <item x="70"/>
        <item x="48"/>
        <item x="112"/>
        <item x="104"/>
        <item x="21"/>
        <item x="49"/>
        <item x="105"/>
        <item x="50"/>
        <item x="157"/>
        <item x="110"/>
        <item x="158"/>
        <item x="118"/>
        <item x="111"/>
        <item x="68"/>
        <item x="22"/>
        <item x="113"/>
        <item x="109"/>
        <item x="53"/>
        <item x="137"/>
        <item x="19"/>
        <item x="159"/>
        <item x="69"/>
        <item x="54"/>
        <item x="141"/>
        <item x="142"/>
        <item x="55"/>
        <item x="119"/>
        <item x="56"/>
        <item x="24"/>
        <item x="71"/>
        <item x="26"/>
        <item x="77"/>
        <item x="57"/>
        <item x="78"/>
        <item x="79"/>
        <item x="27"/>
        <item x="28"/>
        <item x="59"/>
        <item x="29"/>
        <item x="120"/>
        <item x="114"/>
        <item x="156"/>
        <item x="115"/>
        <item x="25"/>
        <item x="60"/>
        <item x="122"/>
        <item x="145"/>
        <item x="130"/>
        <item x="143"/>
        <item x="61"/>
        <item x="64"/>
        <item x="30"/>
        <item x="124"/>
        <item x="147"/>
        <item x="121"/>
        <item x="65"/>
        <item x="80"/>
        <item x="125"/>
        <item x="116"/>
        <item x="31"/>
        <item x="32"/>
        <item x="81"/>
        <item x="82"/>
        <item x="83"/>
        <item x="160"/>
        <item x="148"/>
        <item x="72"/>
        <item x="84"/>
        <item x="33"/>
        <item x="76"/>
        <item x="85"/>
        <item x="126"/>
        <item x="140"/>
        <item x="131"/>
        <item x="161"/>
        <item x="73"/>
        <item x="74"/>
        <item x="117"/>
        <item x="123"/>
        <item x="34"/>
        <item x="75"/>
        <item t="default"/>
      </items>
    </pivotField>
    <pivotField showAll="0"/>
    <pivotField showAll="0"/>
    <pivotField showAll="0"/>
    <pivotField axis="axisRow" showAll="0">
      <items count="11">
        <item x="2"/>
        <item x="5"/>
        <item x="1"/>
        <item x="8"/>
        <item x="4"/>
        <item x="3"/>
        <item x="0"/>
        <item x="7"/>
        <item x="9"/>
        <item x="6"/>
        <item t="default"/>
      </items>
    </pivotField>
    <pivotField axis="axisRow" showAll="0">
      <items count="4">
        <item x="1"/>
        <item x="0"/>
        <item x="2"/>
        <item t="default"/>
      </items>
    </pivotField>
    <pivotField dataField="1" numFmtId="1" showAll="0"/>
    <pivotField showAll="0"/>
    <pivotField showAll="0"/>
    <pivotField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6"/>
    <field x="5"/>
  </rowFields>
  <rowItems count="14">
    <i>
      <x/>
    </i>
    <i r="1">
      <x/>
    </i>
    <i r="1">
      <x v="2"/>
    </i>
    <i>
      <x v="1"/>
    </i>
    <i r="1">
      <x v="4"/>
    </i>
    <i r="1">
      <x v="5"/>
    </i>
    <i r="1">
      <x v="6"/>
    </i>
    <i r="1">
      <x v="7"/>
    </i>
    <i r="1">
      <x v="9"/>
    </i>
    <i>
      <x v="2"/>
    </i>
    <i r="1">
      <x v="1"/>
    </i>
    <i r="1">
      <x v="3"/>
    </i>
    <i r="1">
      <x v="8"/>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81ED96-CB33-4573-B429-2402F65716F8}" sourceName="Category">
  <pivotTables>
    <pivotTable tabId="7" name="PivotTable5"/>
  </pivotTables>
  <data>
    <tabular pivotCacheId="173229466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C1C180-5950-469D-9323-85695970EDF9}" sourceName="Region">
  <pivotTables>
    <pivotTable tabId="7" name="PivotTable5"/>
  </pivotTables>
  <data>
    <tabular pivotCacheId="1732294666">
      <items count="5">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9E2CEFA-5989-4751-AAC6-05D5B7DF594F}" sourceName="Years (Date)">
  <pivotTables>
    <pivotTable tabId="7" name="PivotTable5"/>
  </pivotTables>
  <data>
    <tabular pivotCacheId="173229466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02DDC6B-4252-434E-9295-F65ADD56C8FC}" cache="Slicer_Category" caption="Category" style="SlicerStyleOther1" rowHeight="241300"/>
  <slicer name="Region" xr10:uid="{69E3A6D3-4E58-4277-9EF2-A480F9EE7848}" cache="Slicer_Region" caption="Region" style="SlicerStyleOther1" rowHeight="241300"/>
  <slicer name="Years (Date)" xr10:uid="{5BC7AE05-A540-496F-BAD6-8B99F4458778}" cache="Slicer_Years__Date" caption="Years (Date)"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AD70A3-7845-4F7F-A8A3-FA5342505C25}" cache="Slicer_Category" caption="Category" style="SlicerStyleOther1" rowHeight="241300"/>
  <slicer name="Region 1" xr10:uid="{A87BA2FE-F18D-4EC9-A79A-4B3FFF448216}" cache="Slicer_Region" caption="Region" style="SlicerStyleOther1" rowHeight="241300"/>
  <slicer name="Years (Date) 1" xr10:uid="{62357B62-81CE-438D-A221-BC7FE08D6250}" cache="Slicer_Years__Date" caption="Years (Dat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291A0-DAA6-43D0-85BA-ADC18F8EF634}" name="Table1" displayName="Table1" ref="A1:N251" totalsRowShown="0" headerRowDxfId="19" dataDxfId="18">
  <autoFilter ref="A1:N251" xr:uid="{46AB5566-E360-4D06-98A8-2BD4B05A0B4F}"/>
  <sortState xmlns:xlrd2="http://schemas.microsoft.com/office/spreadsheetml/2017/richdata2" ref="A2:N251">
    <sortCondition ref="H1:H251"/>
  </sortState>
  <tableColumns count="14">
    <tableColumn id="1" xr3:uid="{50F51282-4316-402E-B7A1-E324767657D3}" name="Transaction_ID" dataDxfId="17"/>
    <tableColumn id="2" xr3:uid="{51F4E705-87BC-402F-93DE-4E83217F46B0}" name="Date" dataDxfId="16"/>
    <tableColumn id="3" xr3:uid="{C5A3DBFB-9F2F-46B2-BAAC-DD51298F1F80}" name="Customer_ID" dataDxfId="15"/>
    <tableColumn id="4" xr3:uid="{38AEE36E-2403-4C40-9F1F-6E08C67D771D}" name="Customer_Name" dataDxfId="14"/>
    <tableColumn id="5" xr3:uid="{4D067A5A-1849-474C-823E-E77F5A03C906}" name="Product_ID" dataDxfId="13"/>
    <tableColumn id="6" xr3:uid="{55F2C271-E82B-4F01-88FE-DCBB45B86363}" name="Product_Name" dataDxfId="12"/>
    <tableColumn id="7" xr3:uid="{747F1ED7-713A-437A-9864-CB75049DB7C4}" name="Category" dataDxfId="11"/>
    <tableColumn id="8" xr3:uid="{5CE5FB96-1EBE-46B9-89AB-0F6EB9CCD4F0}" name="Quantity" dataDxfId="10"/>
    <tableColumn id="9" xr3:uid="{F5B49967-D2C3-4DAC-A08F-7921435C53F7}" name="Unit_Price" dataDxfId="9"/>
    <tableColumn id="10" xr3:uid="{DB5AADA1-F027-4266-B76A-90956FA2D364}" name="Payment_Method" dataDxfId="8"/>
    <tableColumn id="11" xr3:uid="{D2765715-7E79-4ADF-B7BC-C527EB839B0A}" name="Region" dataDxfId="7"/>
    <tableColumn id="12" xr3:uid="{2964E129-E734-41B5-91D7-E914CF0BFFC0}" name="Customer_Segment" dataDxfId="6"/>
    <tableColumn id="13" xr3:uid="{D6A618DE-3457-4651-81E0-876397EE042F}" name="Customer_Since" dataDxfId="5"/>
    <tableColumn id="14" xr3:uid="{C23E1F29-848D-4FA7-A619-145652EF4B2F}" name="Total_Amoun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5F67F3-B0B7-402C-BFC6-959F62FCD83A}" name="Table13" displayName="Table13" ref="L1:N11" totalsRowShown="0" dataDxfId="3">
  <autoFilter ref="L1:N11" xr:uid="{9B5F67F3-B0B7-402C-BFC6-959F62FCD83A}"/>
  <tableColumns count="3">
    <tableColumn id="1" xr3:uid="{5BBF4A2D-EB0A-4149-9FDF-4507A6832EDC}" name="Goal seek" dataDxfId="2"/>
    <tableColumn id="2" xr3:uid="{9AABF22E-87CE-4D4C-B2D4-615013A41FFD}" name="Column1" dataDxfId="1">
      <calculatedColumnFormula>L2*N2</calculatedColumnFormula>
    </tableColumn>
    <tableColumn id="3" xr3:uid="{714D6C23-B5A0-429B-A798-C3B2539997F8}" name="Column2" dataDxfId="0"/>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zoomScaleNormal="100"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6"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49F9D-55DD-4E82-AE34-A5862FABDC57}">
  <dimension ref="A3:E36"/>
  <sheetViews>
    <sheetView topLeftCell="H1" workbookViewId="0">
      <selection activeCell="E36" sqref="E36"/>
    </sheetView>
  </sheetViews>
  <sheetFormatPr defaultRowHeight="14.4" x14ac:dyDescent="0.3"/>
  <cols>
    <col min="1" max="1" width="19.77734375" bestFit="1" customWidth="1"/>
    <col min="2" max="2" width="15.5546875" bestFit="1" customWidth="1"/>
    <col min="3" max="3" width="10" bestFit="1" customWidth="1"/>
    <col min="4" max="4" width="9" bestFit="1" customWidth="1"/>
    <col min="5" max="5" width="10.77734375" bestFit="1" customWidth="1"/>
    <col min="6" max="6" width="10.5546875" bestFit="1" customWidth="1"/>
    <col min="7" max="7" width="11" bestFit="1" customWidth="1"/>
    <col min="8" max="8" width="10.5546875" bestFit="1" customWidth="1"/>
    <col min="9" max="9" width="11" bestFit="1" customWidth="1"/>
    <col min="10" max="11" width="10.5546875" bestFit="1" customWidth="1"/>
    <col min="12" max="12" width="11.33203125" bestFit="1" customWidth="1"/>
    <col min="13" max="13" width="15.5546875" bestFit="1" customWidth="1"/>
    <col min="14" max="14" width="11.109375" bestFit="1" customWidth="1"/>
    <col min="15" max="15" width="8" bestFit="1" customWidth="1"/>
    <col min="16" max="16" width="9" bestFit="1" customWidth="1"/>
    <col min="17" max="18" width="8" bestFit="1" customWidth="1"/>
    <col min="19" max="19" width="14.33203125" bestFit="1" customWidth="1"/>
    <col min="20" max="20" width="11.33203125" bestFit="1" customWidth="1"/>
    <col min="21" max="21" width="10.5546875" bestFit="1" customWidth="1"/>
    <col min="22" max="22" width="11.33203125" bestFit="1" customWidth="1"/>
    <col min="23" max="23" width="9" bestFit="1" customWidth="1"/>
    <col min="24" max="24" width="8" bestFit="1" customWidth="1"/>
    <col min="25" max="25" width="9" bestFit="1" customWidth="1"/>
    <col min="26" max="26" width="10.5546875" bestFit="1" customWidth="1"/>
    <col min="27" max="27" width="11.33203125" bestFit="1" customWidth="1"/>
  </cols>
  <sheetData>
    <row r="3" spans="1:5" x14ac:dyDescent="0.3">
      <c r="A3" s="20" t="s">
        <v>415</v>
      </c>
      <c r="B3" s="20" t="s">
        <v>418</v>
      </c>
    </row>
    <row r="4" spans="1:5" x14ac:dyDescent="0.3">
      <c r="A4" s="20" t="s">
        <v>412</v>
      </c>
      <c r="B4" t="s">
        <v>35</v>
      </c>
      <c r="C4" t="s">
        <v>21</v>
      </c>
      <c r="D4" t="s">
        <v>48</v>
      </c>
      <c r="E4" t="s">
        <v>413</v>
      </c>
    </row>
    <row r="5" spans="1:5" x14ac:dyDescent="0.3">
      <c r="A5" s="16" t="s">
        <v>416</v>
      </c>
      <c r="B5" s="45"/>
      <c r="C5" s="45"/>
      <c r="D5" s="45"/>
      <c r="E5" s="45"/>
    </row>
    <row r="6" spans="1:5" x14ac:dyDescent="0.3">
      <c r="A6" s="21" t="s">
        <v>419</v>
      </c>
      <c r="B6" s="45">
        <v>2439.62</v>
      </c>
      <c r="C6" s="45">
        <v>45118.989999999983</v>
      </c>
      <c r="D6" s="45">
        <v>9699.52</v>
      </c>
      <c r="E6" s="45">
        <v>57258.12999999999</v>
      </c>
    </row>
    <row r="7" spans="1:5" x14ac:dyDescent="0.3">
      <c r="A7" s="21" t="s">
        <v>420</v>
      </c>
      <c r="B7" s="45">
        <v>1939.72</v>
      </c>
      <c r="C7" s="45">
        <v>34589.119999999988</v>
      </c>
      <c r="D7" s="45">
        <v>10699.500000000004</v>
      </c>
      <c r="E7" s="45">
        <v>47228.34</v>
      </c>
    </row>
    <row r="8" spans="1:5" x14ac:dyDescent="0.3">
      <c r="A8" s="21" t="s">
        <v>421</v>
      </c>
      <c r="B8" s="45">
        <v>1519.77</v>
      </c>
      <c r="C8" s="45">
        <v>42939.039999999979</v>
      </c>
      <c r="D8" s="45">
        <v>11499.450000000004</v>
      </c>
      <c r="E8" s="45">
        <v>55958.25999999998</v>
      </c>
    </row>
    <row r="9" spans="1:5" x14ac:dyDescent="0.3">
      <c r="A9" s="16" t="s">
        <v>417</v>
      </c>
      <c r="B9" s="45"/>
      <c r="C9" s="45"/>
      <c r="D9" s="45"/>
      <c r="E9" s="45"/>
    </row>
    <row r="10" spans="1:5" x14ac:dyDescent="0.3">
      <c r="A10" s="21" t="s">
        <v>459</v>
      </c>
      <c r="B10" s="45">
        <v>2199.66</v>
      </c>
      <c r="C10" s="45">
        <v>42369.039999999986</v>
      </c>
      <c r="D10" s="45">
        <v>17199.210000000003</v>
      </c>
      <c r="E10" s="45">
        <v>61767.909999999989</v>
      </c>
    </row>
    <row r="11" spans="1:5" x14ac:dyDescent="0.3">
      <c r="A11" s="21" t="s">
        <v>419</v>
      </c>
      <c r="B11" s="45">
        <v>239.97</v>
      </c>
      <c r="C11" s="45">
        <v>6739.86</v>
      </c>
      <c r="D11" s="45"/>
      <c r="E11" s="45">
        <v>6979.83</v>
      </c>
    </row>
    <row r="12" spans="1:5" x14ac:dyDescent="0.3">
      <c r="A12" s="16" t="s">
        <v>413</v>
      </c>
      <c r="B12" s="45">
        <v>8338.74</v>
      </c>
      <c r="C12" s="45">
        <v>171756.04999999993</v>
      </c>
      <c r="D12" s="45">
        <v>49097.680000000008</v>
      </c>
      <c r="E12" s="45">
        <v>229192.46999999994</v>
      </c>
    </row>
    <row r="32" spans="1:2" x14ac:dyDescent="0.3">
      <c r="A32" s="20" t="s">
        <v>414</v>
      </c>
      <c r="B32" s="20" t="s">
        <v>418</v>
      </c>
    </row>
    <row r="33" spans="1:5" x14ac:dyDescent="0.3">
      <c r="A33" s="20" t="s">
        <v>412</v>
      </c>
      <c r="B33" t="s">
        <v>35</v>
      </c>
      <c r="C33" t="s">
        <v>21</v>
      </c>
      <c r="D33" t="s">
        <v>48</v>
      </c>
      <c r="E33" t="s">
        <v>413</v>
      </c>
    </row>
    <row r="34" spans="1:5" x14ac:dyDescent="0.3">
      <c r="A34" s="16" t="s">
        <v>416</v>
      </c>
      <c r="B34">
        <v>89</v>
      </c>
      <c r="C34">
        <v>285</v>
      </c>
      <c r="D34">
        <v>153</v>
      </c>
      <c r="E34">
        <v>527</v>
      </c>
    </row>
    <row r="35" spans="1:5" x14ac:dyDescent="0.3">
      <c r="A35" s="16" t="s">
        <v>417</v>
      </c>
      <c r="B35">
        <v>37</v>
      </c>
      <c r="C35">
        <v>110</v>
      </c>
      <c r="D35">
        <v>79</v>
      </c>
      <c r="E35">
        <v>226</v>
      </c>
    </row>
    <row r="36" spans="1:5" x14ac:dyDescent="0.3">
      <c r="A36" s="16" t="s">
        <v>413</v>
      </c>
      <c r="B36">
        <v>126</v>
      </c>
      <c r="C36">
        <v>395</v>
      </c>
      <c r="D36">
        <v>232</v>
      </c>
      <c r="E36">
        <v>753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2109F-E570-40B4-90D2-B30F42CA888F}">
  <dimension ref="A1:R25"/>
  <sheetViews>
    <sheetView workbookViewId="0">
      <selection activeCell="T6" sqref="T6"/>
    </sheetView>
  </sheetViews>
  <sheetFormatPr defaultColWidth="9.109375" defaultRowHeight="14.4" x14ac:dyDescent="0.3"/>
  <cols>
    <col min="1" max="15" width="9.109375" style="46"/>
    <col min="16" max="16" width="9.109375" style="46" customWidth="1"/>
    <col min="17" max="16384" width="9.109375" style="46"/>
  </cols>
  <sheetData>
    <row r="1" spans="1:1" x14ac:dyDescent="0.3">
      <c r="A1" s="46" t="s">
        <v>401</v>
      </c>
    </row>
    <row r="17" spans="12:18" x14ac:dyDescent="0.3">
      <c r="L17" s="47">
        <f>GETPIVOTDATA("Total_Amount",Sheet1!$A$3)</f>
        <v>229192.46999999994</v>
      </c>
      <c r="M17" s="47"/>
      <c r="N17" s="47"/>
    </row>
    <row r="18" spans="12:18" x14ac:dyDescent="0.3">
      <c r="L18" s="47"/>
      <c r="M18" s="47"/>
      <c r="N18" s="47"/>
    </row>
    <row r="19" spans="12:18" x14ac:dyDescent="0.3">
      <c r="L19" s="47"/>
      <c r="M19" s="47"/>
      <c r="N19" s="47"/>
      <c r="P19" s="48">
        <f>GETPIVOTDATA("Quantity",Sheet1!$A$32)</f>
        <v>753</v>
      </c>
      <c r="Q19" s="48"/>
      <c r="R19" s="48"/>
    </row>
    <row r="20" spans="12:18" x14ac:dyDescent="0.3">
      <c r="L20" s="47"/>
      <c r="M20" s="47"/>
      <c r="N20" s="47"/>
      <c r="P20" s="48"/>
      <c r="Q20" s="48"/>
      <c r="R20" s="48"/>
    </row>
    <row r="21" spans="12:18" x14ac:dyDescent="0.3">
      <c r="P21" s="48"/>
      <c r="Q21" s="48"/>
      <c r="R21" s="48"/>
    </row>
    <row r="22" spans="12:18" ht="15" customHeight="1" x14ac:dyDescent="0.3">
      <c r="L22" s="47" t="str">
        <f>Sheet1!$B$4</f>
        <v>Appliances</v>
      </c>
      <c r="M22" s="47"/>
      <c r="N22" s="47"/>
      <c r="P22" s="48"/>
      <c r="Q22" s="48"/>
      <c r="R22" s="48"/>
    </row>
    <row r="23" spans="12:18" ht="15" customHeight="1" x14ac:dyDescent="0.3">
      <c r="L23" s="47"/>
      <c r="M23" s="47"/>
      <c r="N23" s="47"/>
    </row>
    <row r="24" spans="12:18" ht="15" customHeight="1" x14ac:dyDescent="0.3">
      <c r="L24" s="47"/>
      <c r="M24" s="47"/>
      <c r="N24" s="47"/>
    </row>
    <row r="25" spans="12:18" ht="15" customHeight="1" x14ac:dyDescent="0.3">
      <c r="L25" s="47"/>
      <c r="M25" s="47"/>
      <c r="N25" s="47"/>
    </row>
  </sheetData>
  <mergeCells count="3">
    <mergeCell ref="L17:N20"/>
    <mergeCell ref="L22:N25"/>
    <mergeCell ref="P19:R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CA7A-6866-47DF-92FF-8B2CE0DFBEB4}">
  <dimension ref="A1:N251"/>
  <sheetViews>
    <sheetView zoomScaleNormal="100" workbookViewId="0">
      <selection activeCell="F14" sqref="F14"/>
    </sheetView>
  </sheetViews>
  <sheetFormatPr defaultRowHeight="14.4" x14ac:dyDescent="0.3"/>
  <cols>
    <col min="1" max="1" width="16.109375" customWidth="1"/>
    <col min="2" max="2" width="10.44140625" bestFit="1" customWidth="1"/>
    <col min="3" max="3" width="14.5546875" customWidth="1"/>
    <col min="4" max="4" width="18" customWidth="1"/>
    <col min="5" max="5" width="12.88671875" customWidth="1"/>
    <col min="6" max="6" width="16.33203125" customWidth="1"/>
    <col min="7" max="7" width="11" customWidth="1"/>
    <col min="8" max="8" width="10.88671875" customWidth="1"/>
    <col min="9" max="9" width="12.44140625" customWidth="1"/>
    <col min="10" max="10" width="19.109375" customWidth="1"/>
    <col min="11" max="11" width="9.33203125" customWidth="1"/>
    <col min="12" max="12" width="20.5546875" customWidth="1"/>
    <col min="13" max="13" width="17.44140625" customWidth="1"/>
    <col min="14" max="14" width="15.6640625" customWidth="1"/>
  </cols>
  <sheetData>
    <row r="1" spans="1:14" x14ac:dyDescent="0.3">
      <c r="A1" s="3" t="s">
        <v>2</v>
      </c>
      <c r="B1" s="3" t="s">
        <v>3</v>
      </c>
      <c r="C1" s="3" t="s">
        <v>4</v>
      </c>
      <c r="D1" s="3" t="s">
        <v>5</v>
      </c>
      <c r="E1" s="3" t="s">
        <v>6</v>
      </c>
      <c r="F1" s="3" t="s">
        <v>7</v>
      </c>
      <c r="G1" s="3" t="s">
        <v>8</v>
      </c>
      <c r="H1" s="3" t="s">
        <v>9</v>
      </c>
      <c r="I1" s="3" t="s">
        <v>10</v>
      </c>
      <c r="J1" s="3" t="s">
        <v>11</v>
      </c>
      <c r="K1" s="3" t="s">
        <v>12</v>
      </c>
      <c r="L1" s="3" t="s">
        <v>13</v>
      </c>
      <c r="M1" s="3" t="s">
        <v>14</v>
      </c>
      <c r="N1" s="3" t="s">
        <v>15</v>
      </c>
    </row>
    <row r="2" spans="1:14" x14ac:dyDescent="0.3">
      <c r="A2" s="4" t="s">
        <v>84</v>
      </c>
      <c r="B2" s="5">
        <v>45409</v>
      </c>
      <c r="C2" s="4" t="s">
        <v>85</v>
      </c>
      <c r="D2" s="4" t="s">
        <v>86</v>
      </c>
      <c r="E2" s="4" t="s">
        <v>63</v>
      </c>
      <c r="F2" s="4" t="s">
        <v>64</v>
      </c>
      <c r="G2" s="4" t="s">
        <v>21</v>
      </c>
      <c r="H2" s="19">
        <v>1</v>
      </c>
      <c r="I2" s="4">
        <v>899.99</v>
      </c>
      <c r="J2" s="4" t="s">
        <v>59</v>
      </c>
      <c r="K2" s="4" t="s">
        <v>42</v>
      </c>
      <c r="L2" s="4" t="s">
        <v>38</v>
      </c>
      <c r="M2" s="5">
        <v>44920</v>
      </c>
      <c r="N2" s="4">
        <v>899.99</v>
      </c>
    </row>
    <row r="3" spans="1:14" x14ac:dyDescent="0.3">
      <c r="A3" s="4" t="s">
        <v>136</v>
      </c>
      <c r="B3" s="5">
        <v>45432</v>
      </c>
      <c r="C3" s="4" t="s">
        <v>31</v>
      </c>
      <c r="D3" s="4" t="s">
        <v>32</v>
      </c>
      <c r="E3" s="4" t="s">
        <v>63</v>
      </c>
      <c r="F3" s="4" t="s">
        <v>64</v>
      </c>
      <c r="G3" s="4" t="s">
        <v>21</v>
      </c>
      <c r="H3" s="19">
        <v>1</v>
      </c>
      <c r="I3" s="4">
        <v>899.99</v>
      </c>
      <c r="J3" s="4" t="s">
        <v>28</v>
      </c>
      <c r="K3" s="4" t="s">
        <v>52</v>
      </c>
      <c r="L3" s="4" t="s">
        <v>29</v>
      </c>
      <c r="M3" s="5">
        <v>44578</v>
      </c>
      <c r="N3" s="4">
        <v>899.99</v>
      </c>
    </row>
    <row r="4" spans="1:14" x14ac:dyDescent="0.3">
      <c r="A4" s="4" t="s">
        <v>148</v>
      </c>
      <c r="B4" s="5">
        <v>45443</v>
      </c>
      <c r="C4" s="4" t="s">
        <v>149</v>
      </c>
      <c r="D4" s="4" t="s">
        <v>150</v>
      </c>
      <c r="E4" s="4" t="s">
        <v>116</v>
      </c>
      <c r="F4" s="4" t="s">
        <v>117</v>
      </c>
      <c r="G4" s="4" t="s">
        <v>35</v>
      </c>
      <c r="H4" s="19">
        <v>1</v>
      </c>
      <c r="I4" s="4">
        <v>79.989999999999995</v>
      </c>
      <c r="J4" s="4" t="s">
        <v>22</v>
      </c>
      <c r="K4" s="4" t="s">
        <v>42</v>
      </c>
      <c r="L4" s="4" t="s">
        <v>38</v>
      </c>
      <c r="M4" s="5">
        <v>44917</v>
      </c>
      <c r="N4" s="4">
        <v>79.989999999999995</v>
      </c>
    </row>
    <row r="5" spans="1:14" x14ac:dyDescent="0.3">
      <c r="A5" s="4" t="s">
        <v>170</v>
      </c>
      <c r="B5" s="5">
        <v>45460</v>
      </c>
      <c r="C5" s="4" t="s">
        <v>160</v>
      </c>
      <c r="D5" s="4" t="s">
        <v>161</v>
      </c>
      <c r="E5" s="4" t="s">
        <v>33</v>
      </c>
      <c r="F5" s="4" t="s">
        <v>34</v>
      </c>
      <c r="G5" s="4" t="s">
        <v>35</v>
      </c>
      <c r="H5" s="19">
        <v>1</v>
      </c>
      <c r="I5" s="4">
        <v>59.99</v>
      </c>
      <c r="J5" s="4" t="s">
        <v>59</v>
      </c>
      <c r="K5" s="4" t="s">
        <v>52</v>
      </c>
      <c r="L5" s="4" t="s">
        <v>29</v>
      </c>
      <c r="M5" s="5">
        <v>45190</v>
      </c>
      <c r="N5" s="4">
        <v>59.99</v>
      </c>
    </row>
    <row r="6" spans="1:14" x14ac:dyDescent="0.3">
      <c r="A6" s="4" t="s">
        <v>154</v>
      </c>
      <c r="B6" s="5">
        <v>45444</v>
      </c>
      <c r="C6" s="4" t="s">
        <v>57</v>
      </c>
      <c r="D6" s="4" t="s">
        <v>58</v>
      </c>
      <c r="E6" s="4" t="s">
        <v>119</v>
      </c>
      <c r="F6" s="4" t="s">
        <v>120</v>
      </c>
      <c r="G6" s="4" t="s">
        <v>21</v>
      </c>
      <c r="H6" s="19">
        <v>1</v>
      </c>
      <c r="I6" s="4">
        <v>89.99</v>
      </c>
      <c r="J6" s="4" t="s">
        <v>22</v>
      </c>
      <c r="K6" s="4" t="s">
        <v>42</v>
      </c>
      <c r="L6" s="4" t="s">
        <v>24</v>
      </c>
      <c r="M6" s="5">
        <v>45141</v>
      </c>
      <c r="N6" s="4">
        <v>89.99</v>
      </c>
    </row>
    <row r="7" spans="1:14" x14ac:dyDescent="0.3">
      <c r="A7" s="4" t="s">
        <v>159</v>
      </c>
      <c r="B7" s="5">
        <v>45449</v>
      </c>
      <c r="C7" s="4" t="s">
        <v>160</v>
      </c>
      <c r="D7" s="4" t="s">
        <v>161</v>
      </c>
      <c r="E7" s="4" t="s">
        <v>119</v>
      </c>
      <c r="F7" s="4" t="s">
        <v>120</v>
      </c>
      <c r="G7" s="4" t="s">
        <v>21</v>
      </c>
      <c r="H7" s="19">
        <v>1</v>
      </c>
      <c r="I7" s="4">
        <v>89.99</v>
      </c>
      <c r="J7" s="4" t="s">
        <v>28</v>
      </c>
      <c r="K7" s="4" t="s">
        <v>37</v>
      </c>
      <c r="L7" s="4" t="s">
        <v>38</v>
      </c>
      <c r="M7" s="5">
        <v>44582</v>
      </c>
      <c r="N7" s="4">
        <v>89.99</v>
      </c>
    </row>
    <row r="8" spans="1:14" x14ac:dyDescent="0.3">
      <c r="A8" s="4" t="s">
        <v>181</v>
      </c>
      <c r="B8" s="5">
        <v>45475</v>
      </c>
      <c r="C8" s="4" t="s">
        <v>57</v>
      </c>
      <c r="D8" s="4" t="s">
        <v>58</v>
      </c>
      <c r="E8" s="4" t="s">
        <v>119</v>
      </c>
      <c r="F8" s="4" t="s">
        <v>120</v>
      </c>
      <c r="G8" s="4" t="s">
        <v>21</v>
      </c>
      <c r="H8" s="19">
        <v>1</v>
      </c>
      <c r="I8" s="4">
        <v>89.99</v>
      </c>
      <c r="J8" s="4" t="s">
        <v>36</v>
      </c>
      <c r="K8" s="4" t="s">
        <v>52</v>
      </c>
      <c r="L8" s="4" t="s">
        <v>38</v>
      </c>
      <c r="M8" s="5">
        <v>44802</v>
      </c>
      <c r="N8" s="4">
        <v>89.99</v>
      </c>
    </row>
    <row r="9" spans="1:14" x14ac:dyDescent="0.3">
      <c r="A9" s="4" t="s">
        <v>182</v>
      </c>
      <c r="B9" s="5">
        <v>45476</v>
      </c>
      <c r="C9" s="4" t="s">
        <v>70</v>
      </c>
      <c r="D9" s="4" t="s">
        <v>71</v>
      </c>
      <c r="E9" s="4" t="s">
        <v>119</v>
      </c>
      <c r="F9" s="4" t="s">
        <v>120</v>
      </c>
      <c r="G9" s="4" t="s">
        <v>21</v>
      </c>
      <c r="H9" s="19">
        <v>1</v>
      </c>
      <c r="I9" s="4">
        <v>89.99</v>
      </c>
      <c r="J9" s="4" t="s">
        <v>22</v>
      </c>
      <c r="K9" s="4" t="s">
        <v>37</v>
      </c>
      <c r="L9" s="4" t="s">
        <v>38</v>
      </c>
      <c r="M9" s="5">
        <v>44611</v>
      </c>
      <c r="N9" s="4">
        <v>89.99</v>
      </c>
    </row>
    <row r="10" spans="1:14" x14ac:dyDescent="0.3">
      <c r="A10" s="4" t="s">
        <v>192</v>
      </c>
      <c r="B10" s="5">
        <v>45484</v>
      </c>
      <c r="C10" s="4" t="s">
        <v>26</v>
      </c>
      <c r="D10" s="4" t="s">
        <v>27</v>
      </c>
      <c r="E10" s="4" t="s">
        <v>54</v>
      </c>
      <c r="F10" s="4" t="s">
        <v>55</v>
      </c>
      <c r="G10" s="4" t="s">
        <v>21</v>
      </c>
      <c r="H10" s="19">
        <v>1</v>
      </c>
      <c r="I10" s="4">
        <v>149.99</v>
      </c>
      <c r="J10" s="4" t="s">
        <v>22</v>
      </c>
      <c r="K10" s="4" t="s">
        <v>23</v>
      </c>
      <c r="L10" s="4" t="s">
        <v>38</v>
      </c>
      <c r="M10" s="5">
        <v>44909</v>
      </c>
      <c r="N10" s="4">
        <v>149.99</v>
      </c>
    </row>
    <row r="11" spans="1:14" x14ac:dyDescent="0.3">
      <c r="A11" s="4" t="s">
        <v>202</v>
      </c>
      <c r="B11" s="5">
        <v>45496</v>
      </c>
      <c r="C11" s="4" t="s">
        <v>152</v>
      </c>
      <c r="D11" s="4" t="s">
        <v>153</v>
      </c>
      <c r="E11" s="4" t="s">
        <v>63</v>
      </c>
      <c r="F11" s="4" t="s">
        <v>64</v>
      </c>
      <c r="G11" s="4" t="s">
        <v>21</v>
      </c>
      <c r="H11" s="19">
        <v>1</v>
      </c>
      <c r="I11" s="4">
        <v>899.99</v>
      </c>
      <c r="J11" s="4" t="s">
        <v>22</v>
      </c>
      <c r="K11" s="4" t="s">
        <v>23</v>
      </c>
      <c r="L11" s="4" t="s">
        <v>38</v>
      </c>
      <c r="M11" s="5">
        <v>45179</v>
      </c>
      <c r="N11" s="4">
        <v>899.99</v>
      </c>
    </row>
    <row r="12" spans="1:14" x14ac:dyDescent="0.3">
      <c r="A12" s="4" t="s">
        <v>175</v>
      </c>
      <c r="B12" s="5">
        <v>45469</v>
      </c>
      <c r="C12" s="4" t="s">
        <v>31</v>
      </c>
      <c r="D12" s="4" t="s">
        <v>32</v>
      </c>
      <c r="E12" s="4" t="s">
        <v>116</v>
      </c>
      <c r="F12" s="4" t="s">
        <v>117</v>
      </c>
      <c r="G12" s="4" t="s">
        <v>35</v>
      </c>
      <c r="H12" s="19">
        <v>1</v>
      </c>
      <c r="I12" s="4">
        <v>79.989999999999995</v>
      </c>
      <c r="J12" s="4" t="s">
        <v>36</v>
      </c>
      <c r="K12" s="4" t="s">
        <v>23</v>
      </c>
      <c r="L12" s="4" t="s">
        <v>29</v>
      </c>
      <c r="M12" s="5">
        <v>45352</v>
      </c>
      <c r="N12" s="4">
        <v>79.989999999999995</v>
      </c>
    </row>
    <row r="13" spans="1:14" x14ac:dyDescent="0.3">
      <c r="A13" s="4" t="s">
        <v>69</v>
      </c>
      <c r="B13" s="5">
        <v>45408</v>
      </c>
      <c r="C13" s="4" t="s">
        <v>70</v>
      </c>
      <c r="D13" s="4" t="s">
        <v>71</v>
      </c>
      <c r="E13" s="4" t="s">
        <v>46</v>
      </c>
      <c r="F13" s="4" t="s">
        <v>47</v>
      </c>
      <c r="G13" s="4" t="s">
        <v>48</v>
      </c>
      <c r="H13" s="19">
        <v>1</v>
      </c>
      <c r="I13" s="4">
        <v>149.99</v>
      </c>
      <c r="J13" s="4" t="s">
        <v>28</v>
      </c>
      <c r="K13" s="4" t="s">
        <v>52</v>
      </c>
      <c r="L13" s="4" t="s">
        <v>38</v>
      </c>
      <c r="M13" s="5">
        <v>45103</v>
      </c>
      <c r="N13" s="4">
        <v>149.99</v>
      </c>
    </row>
    <row r="14" spans="1:14" x14ac:dyDescent="0.3">
      <c r="A14" s="4" t="s">
        <v>179</v>
      </c>
      <c r="B14" s="5">
        <v>45472</v>
      </c>
      <c r="C14" s="4" t="s">
        <v>122</v>
      </c>
      <c r="D14" s="4" t="s">
        <v>123</v>
      </c>
      <c r="E14" s="4" t="s">
        <v>46</v>
      </c>
      <c r="F14" s="4" t="s">
        <v>47</v>
      </c>
      <c r="G14" s="4" t="s">
        <v>48</v>
      </c>
      <c r="H14" s="19">
        <v>1</v>
      </c>
      <c r="I14" s="4">
        <v>149.99</v>
      </c>
      <c r="J14" s="4" t="s">
        <v>36</v>
      </c>
      <c r="K14" s="4" t="s">
        <v>65</v>
      </c>
      <c r="L14" s="4" t="s">
        <v>24</v>
      </c>
      <c r="M14" s="5">
        <v>44851</v>
      </c>
      <c r="N14" s="4">
        <v>149.99</v>
      </c>
    </row>
    <row r="15" spans="1:14" x14ac:dyDescent="0.3">
      <c r="A15" s="4" t="s">
        <v>216</v>
      </c>
      <c r="B15" s="5">
        <v>45513</v>
      </c>
      <c r="C15" s="4" t="s">
        <v>91</v>
      </c>
      <c r="D15" s="4" t="s">
        <v>92</v>
      </c>
      <c r="E15" s="4" t="s">
        <v>119</v>
      </c>
      <c r="F15" s="4" t="s">
        <v>120</v>
      </c>
      <c r="G15" s="4" t="s">
        <v>21</v>
      </c>
      <c r="H15" s="19">
        <v>1</v>
      </c>
      <c r="I15" s="4">
        <v>89.99</v>
      </c>
      <c r="J15" s="4" t="s">
        <v>28</v>
      </c>
      <c r="K15" s="4" t="s">
        <v>42</v>
      </c>
      <c r="L15" s="4" t="s">
        <v>38</v>
      </c>
      <c r="M15" s="5">
        <v>45393</v>
      </c>
      <c r="N15" s="4">
        <v>89.99</v>
      </c>
    </row>
    <row r="16" spans="1:14" x14ac:dyDescent="0.3">
      <c r="A16" s="4" t="s">
        <v>244</v>
      </c>
      <c r="B16" s="5">
        <v>45545</v>
      </c>
      <c r="C16" s="4" t="s">
        <v>57</v>
      </c>
      <c r="D16" s="4" t="s">
        <v>58</v>
      </c>
      <c r="E16" s="4" t="s">
        <v>116</v>
      </c>
      <c r="F16" s="4" t="s">
        <v>117</v>
      </c>
      <c r="G16" s="4" t="s">
        <v>35</v>
      </c>
      <c r="H16" s="19">
        <v>1</v>
      </c>
      <c r="I16" s="4">
        <v>79.989999999999995</v>
      </c>
      <c r="J16" s="4" t="s">
        <v>22</v>
      </c>
      <c r="K16" s="4" t="s">
        <v>52</v>
      </c>
      <c r="L16" s="4" t="s">
        <v>24</v>
      </c>
      <c r="M16" s="5">
        <v>44693</v>
      </c>
      <c r="N16" s="4">
        <v>79.989999999999995</v>
      </c>
    </row>
    <row r="17" spans="1:14" x14ac:dyDescent="0.3">
      <c r="A17" s="4" t="s">
        <v>231</v>
      </c>
      <c r="B17" s="5">
        <v>45532</v>
      </c>
      <c r="C17" s="4" t="s">
        <v>198</v>
      </c>
      <c r="D17" s="4" t="s">
        <v>199</v>
      </c>
      <c r="E17" s="4" t="s">
        <v>82</v>
      </c>
      <c r="F17" s="4" t="s">
        <v>83</v>
      </c>
      <c r="G17" s="4" t="s">
        <v>21</v>
      </c>
      <c r="H17" s="19">
        <v>1</v>
      </c>
      <c r="I17" s="4">
        <v>699.99</v>
      </c>
      <c r="J17" s="4" t="s">
        <v>22</v>
      </c>
      <c r="K17" s="4" t="s">
        <v>23</v>
      </c>
      <c r="L17" s="4" t="s">
        <v>29</v>
      </c>
      <c r="M17" s="5">
        <v>44497</v>
      </c>
      <c r="N17" s="4">
        <v>699.99</v>
      </c>
    </row>
    <row r="18" spans="1:14" x14ac:dyDescent="0.3">
      <c r="A18" s="4" t="s">
        <v>238</v>
      </c>
      <c r="B18" s="5">
        <v>45537</v>
      </c>
      <c r="C18" s="4" t="s">
        <v>233</v>
      </c>
      <c r="D18" s="4" t="s">
        <v>234</v>
      </c>
      <c r="E18" s="4" t="s">
        <v>19</v>
      </c>
      <c r="F18" s="4" t="s">
        <v>20</v>
      </c>
      <c r="G18" s="4" t="s">
        <v>21</v>
      </c>
      <c r="H18" s="19">
        <v>1</v>
      </c>
      <c r="I18" s="4">
        <v>249.99</v>
      </c>
      <c r="J18" s="4" t="s">
        <v>28</v>
      </c>
      <c r="K18" s="4" t="s">
        <v>52</v>
      </c>
      <c r="L18" s="4" t="s">
        <v>29</v>
      </c>
      <c r="M18" s="5">
        <v>44685</v>
      </c>
      <c r="N18" s="4">
        <v>249.99</v>
      </c>
    </row>
    <row r="19" spans="1:14" x14ac:dyDescent="0.3">
      <c r="A19" s="4" t="s">
        <v>186</v>
      </c>
      <c r="B19" s="5">
        <v>45481</v>
      </c>
      <c r="C19" s="4" t="s">
        <v>187</v>
      </c>
      <c r="D19" s="4" t="s">
        <v>188</v>
      </c>
      <c r="E19" s="4" t="s">
        <v>46</v>
      </c>
      <c r="F19" s="4" t="s">
        <v>47</v>
      </c>
      <c r="G19" s="4" t="s">
        <v>48</v>
      </c>
      <c r="H19" s="19">
        <v>1</v>
      </c>
      <c r="I19" s="4">
        <v>149.99</v>
      </c>
      <c r="J19" s="4" t="s">
        <v>36</v>
      </c>
      <c r="K19" s="4" t="s">
        <v>42</v>
      </c>
      <c r="L19" s="4" t="s">
        <v>24</v>
      </c>
      <c r="M19" s="5">
        <v>44421</v>
      </c>
      <c r="N19" s="4">
        <v>149.99</v>
      </c>
    </row>
    <row r="20" spans="1:14" x14ac:dyDescent="0.3">
      <c r="A20" s="4" t="s">
        <v>239</v>
      </c>
      <c r="B20" s="5">
        <v>45537</v>
      </c>
      <c r="C20" s="4" t="s">
        <v>17</v>
      </c>
      <c r="D20" s="4" t="s">
        <v>18</v>
      </c>
      <c r="E20" s="4" t="s">
        <v>19</v>
      </c>
      <c r="F20" s="4" t="s">
        <v>20</v>
      </c>
      <c r="G20" s="4" t="s">
        <v>21</v>
      </c>
      <c r="H20" s="19">
        <v>1</v>
      </c>
      <c r="I20" s="4">
        <v>249.99</v>
      </c>
      <c r="J20" s="4" t="s">
        <v>59</v>
      </c>
      <c r="K20" s="4" t="s">
        <v>42</v>
      </c>
      <c r="L20" s="4" t="s">
        <v>29</v>
      </c>
      <c r="M20" s="5">
        <v>45332</v>
      </c>
      <c r="N20" s="4">
        <v>249.99</v>
      </c>
    </row>
    <row r="21" spans="1:14" x14ac:dyDescent="0.3">
      <c r="A21" s="4" t="s">
        <v>193</v>
      </c>
      <c r="B21" s="5">
        <v>45484</v>
      </c>
      <c r="C21" s="4" t="s">
        <v>194</v>
      </c>
      <c r="D21" s="4" t="s">
        <v>195</v>
      </c>
      <c r="E21" s="4" t="s">
        <v>107</v>
      </c>
      <c r="F21" s="4" t="s">
        <v>108</v>
      </c>
      <c r="G21" s="4" t="s">
        <v>48</v>
      </c>
      <c r="H21" s="19">
        <v>1</v>
      </c>
      <c r="I21" s="4">
        <v>299.99</v>
      </c>
      <c r="J21" s="4" t="s">
        <v>28</v>
      </c>
      <c r="K21" s="4" t="s">
        <v>42</v>
      </c>
      <c r="L21" s="4" t="s">
        <v>29</v>
      </c>
      <c r="M21" s="5">
        <v>44891</v>
      </c>
      <c r="N21" s="4">
        <v>299.99</v>
      </c>
    </row>
    <row r="22" spans="1:14" x14ac:dyDescent="0.3">
      <c r="A22" s="4" t="s">
        <v>253</v>
      </c>
      <c r="B22" s="5">
        <v>45554</v>
      </c>
      <c r="C22" s="4" t="s">
        <v>254</v>
      </c>
      <c r="D22" s="4" t="s">
        <v>255</v>
      </c>
      <c r="E22" s="4" t="s">
        <v>54</v>
      </c>
      <c r="F22" s="4" t="s">
        <v>55</v>
      </c>
      <c r="G22" s="4" t="s">
        <v>21</v>
      </c>
      <c r="H22" s="19">
        <v>1</v>
      </c>
      <c r="I22" s="4">
        <v>149.99</v>
      </c>
      <c r="J22" s="4" t="s">
        <v>36</v>
      </c>
      <c r="K22" s="4" t="s">
        <v>65</v>
      </c>
      <c r="L22" s="4" t="s">
        <v>38</v>
      </c>
      <c r="M22" s="5">
        <v>44482</v>
      </c>
      <c r="N22" s="4">
        <v>149.99</v>
      </c>
    </row>
    <row r="23" spans="1:14" x14ac:dyDescent="0.3">
      <c r="A23" s="4" t="s">
        <v>292</v>
      </c>
      <c r="B23" s="5">
        <v>45619</v>
      </c>
      <c r="C23" s="4" t="s">
        <v>194</v>
      </c>
      <c r="D23" s="4" t="s">
        <v>195</v>
      </c>
      <c r="E23" s="4" t="s">
        <v>33</v>
      </c>
      <c r="F23" s="4" t="s">
        <v>34</v>
      </c>
      <c r="G23" s="4" t="s">
        <v>35</v>
      </c>
      <c r="H23" s="19">
        <v>1</v>
      </c>
      <c r="I23" s="4">
        <v>59.99</v>
      </c>
      <c r="J23" s="4" t="s">
        <v>59</v>
      </c>
      <c r="K23" s="4" t="s">
        <v>52</v>
      </c>
      <c r="L23" s="4" t="s">
        <v>38</v>
      </c>
      <c r="M23" s="5">
        <v>44560</v>
      </c>
      <c r="N23" s="4">
        <v>59.99</v>
      </c>
    </row>
    <row r="24" spans="1:14" x14ac:dyDescent="0.3">
      <c r="A24" s="4" t="s">
        <v>207</v>
      </c>
      <c r="B24" s="5">
        <v>45500</v>
      </c>
      <c r="C24" s="4" t="s">
        <v>149</v>
      </c>
      <c r="D24" s="4" t="s">
        <v>150</v>
      </c>
      <c r="E24" s="4" t="s">
        <v>107</v>
      </c>
      <c r="F24" s="4" t="s">
        <v>108</v>
      </c>
      <c r="G24" s="4" t="s">
        <v>48</v>
      </c>
      <c r="H24" s="19">
        <v>1</v>
      </c>
      <c r="I24" s="4">
        <v>299.99</v>
      </c>
      <c r="J24" s="4" t="s">
        <v>22</v>
      </c>
      <c r="K24" s="4" t="s">
        <v>37</v>
      </c>
      <c r="L24" s="4" t="s">
        <v>24</v>
      </c>
      <c r="M24" s="5">
        <v>44982</v>
      </c>
      <c r="N24" s="4">
        <v>299.99</v>
      </c>
    </row>
    <row r="25" spans="1:14" x14ac:dyDescent="0.3">
      <c r="A25" s="4" t="s">
        <v>272</v>
      </c>
      <c r="B25" s="5">
        <v>45581</v>
      </c>
      <c r="C25" s="4" t="s">
        <v>152</v>
      </c>
      <c r="D25" s="4" t="s">
        <v>153</v>
      </c>
      <c r="E25" s="4" t="s">
        <v>63</v>
      </c>
      <c r="F25" s="4" t="s">
        <v>64</v>
      </c>
      <c r="G25" s="4" t="s">
        <v>21</v>
      </c>
      <c r="H25" s="19">
        <v>1</v>
      </c>
      <c r="I25" s="4">
        <v>899.99</v>
      </c>
      <c r="J25" s="4" t="s">
        <v>28</v>
      </c>
      <c r="K25" s="4" t="s">
        <v>65</v>
      </c>
      <c r="L25" s="4" t="s">
        <v>38</v>
      </c>
      <c r="M25" s="5">
        <v>45369</v>
      </c>
      <c r="N25" s="4">
        <v>899.99</v>
      </c>
    </row>
    <row r="26" spans="1:14" x14ac:dyDescent="0.3">
      <c r="A26" s="4" t="s">
        <v>283</v>
      </c>
      <c r="B26" s="5">
        <v>45605</v>
      </c>
      <c r="C26" s="4" t="s">
        <v>187</v>
      </c>
      <c r="D26" s="4" t="s">
        <v>188</v>
      </c>
      <c r="E26" s="4" t="s">
        <v>19</v>
      </c>
      <c r="F26" s="4" t="s">
        <v>20</v>
      </c>
      <c r="G26" s="4" t="s">
        <v>21</v>
      </c>
      <c r="H26" s="19">
        <v>1</v>
      </c>
      <c r="I26" s="4">
        <v>249.99</v>
      </c>
      <c r="J26" s="4" t="s">
        <v>28</v>
      </c>
      <c r="K26" s="4" t="s">
        <v>42</v>
      </c>
      <c r="L26" s="4" t="s">
        <v>29</v>
      </c>
      <c r="M26" s="5">
        <v>44828</v>
      </c>
      <c r="N26" s="4">
        <v>249.99</v>
      </c>
    </row>
    <row r="27" spans="1:14" x14ac:dyDescent="0.3">
      <c r="A27" s="4" t="s">
        <v>260</v>
      </c>
      <c r="B27" s="5">
        <v>45564</v>
      </c>
      <c r="C27" s="4" t="s">
        <v>261</v>
      </c>
      <c r="D27" s="4" t="s">
        <v>262</v>
      </c>
      <c r="E27" s="4" t="s">
        <v>128</v>
      </c>
      <c r="F27" s="4" t="s">
        <v>129</v>
      </c>
      <c r="G27" s="4" t="s">
        <v>48</v>
      </c>
      <c r="H27" s="19">
        <v>1</v>
      </c>
      <c r="I27" s="4">
        <v>199.99</v>
      </c>
      <c r="J27" s="4" t="s">
        <v>59</v>
      </c>
      <c r="K27" s="4" t="s">
        <v>65</v>
      </c>
      <c r="L27" s="4" t="s">
        <v>38</v>
      </c>
      <c r="M27" s="5">
        <v>44953</v>
      </c>
      <c r="N27" s="4">
        <v>199.99</v>
      </c>
    </row>
    <row r="28" spans="1:14" x14ac:dyDescent="0.3">
      <c r="A28" s="4" t="s">
        <v>311</v>
      </c>
      <c r="B28" s="5">
        <v>45641</v>
      </c>
      <c r="C28" s="4" t="s">
        <v>184</v>
      </c>
      <c r="D28" s="4" t="s">
        <v>185</v>
      </c>
      <c r="E28" s="4" t="s">
        <v>46</v>
      </c>
      <c r="F28" s="4" t="s">
        <v>47</v>
      </c>
      <c r="G28" s="4" t="s">
        <v>48</v>
      </c>
      <c r="H28" s="19">
        <v>1</v>
      </c>
      <c r="I28" s="4">
        <v>149.99</v>
      </c>
      <c r="J28" s="4" t="s">
        <v>59</v>
      </c>
      <c r="K28" s="4" t="s">
        <v>65</v>
      </c>
      <c r="L28" s="4" t="s">
        <v>38</v>
      </c>
      <c r="M28" s="5">
        <v>45200</v>
      </c>
      <c r="N28" s="4">
        <v>149.99</v>
      </c>
    </row>
    <row r="29" spans="1:14" x14ac:dyDescent="0.3">
      <c r="A29" s="4" t="s">
        <v>336</v>
      </c>
      <c r="B29" s="5">
        <v>45670</v>
      </c>
      <c r="C29" s="4" t="s">
        <v>295</v>
      </c>
      <c r="D29" s="4" t="s">
        <v>296</v>
      </c>
      <c r="E29" s="4" t="s">
        <v>116</v>
      </c>
      <c r="F29" s="4" t="s">
        <v>117</v>
      </c>
      <c r="G29" s="4" t="s">
        <v>35</v>
      </c>
      <c r="H29" s="19">
        <v>1</v>
      </c>
      <c r="I29" s="4">
        <v>79.989999999999995</v>
      </c>
      <c r="J29" s="4" t="s">
        <v>28</v>
      </c>
      <c r="K29" s="4" t="s">
        <v>37</v>
      </c>
      <c r="L29" s="4" t="s">
        <v>24</v>
      </c>
      <c r="M29" s="5">
        <v>45322</v>
      </c>
      <c r="N29" s="4">
        <v>79.989999999999995</v>
      </c>
    </row>
    <row r="30" spans="1:14" x14ac:dyDescent="0.3">
      <c r="A30" s="4" t="s">
        <v>314</v>
      </c>
      <c r="B30" s="5">
        <v>45645</v>
      </c>
      <c r="C30" s="4" t="s">
        <v>184</v>
      </c>
      <c r="D30" s="4" t="s">
        <v>185</v>
      </c>
      <c r="E30" s="4" t="s">
        <v>119</v>
      </c>
      <c r="F30" s="4" t="s">
        <v>120</v>
      </c>
      <c r="G30" s="4" t="s">
        <v>21</v>
      </c>
      <c r="H30" s="19">
        <v>1</v>
      </c>
      <c r="I30" s="4">
        <v>89.99</v>
      </c>
      <c r="J30" s="4" t="s">
        <v>59</v>
      </c>
      <c r="K30" s="4" t="s">
        <v>23</v>
      </c>
      <c r="L30" s="4" t="s">
        <v>38</v>
      </c>
      <c r="M30" s="5">
        <v>44760</v>
      </c>
      <c r="N30" s="4">
        <v>89.99</v>
      </c>
    </row>
    <row r="31" spans="1:14" x14ac:dyDescent="0.3">
      <c r="A31" s="4" t="s">
        <v>337</v>
      </c>
      <c r="B31" s="5">
        <v>45670</v>
      </c>
      <c r="C31" s="4" t="s">
        <v>88</v>
      </c>
      <c r="D31" s="4" t="s">
        <v>89</v>
      </c>
      <c r="E31" s="4" t="s">
        <v>107</v>
      </c>
      <c r="F31" s="4" t="s">
        <v>108</v>
      </c>
      <c r="G31" s="4" t="s">
        <v>48</v>
      </c>
      <c r="H31" s="19">
        <v>1</v>
      </c>
      <c r="I31" s="4">
        <v>299.99</v>
      </c>
      <c r="J31" s="4" t="s">
        <v>28</v>
      </c>
      <c r="K31" s="4" t="s">
        <v>42</v>
      </c>
      <c r="L31" s="4" t="s">
        <v>24</v>
      </c>
      <c r="M31" s="5">
        <v>44436</v>
      </c>
      <c r="N31" s="4">
        <v>299.99</v>
      </c>
    </row>
    <row r="32" spans="1:14" x14ac:dyDescent="0.3">
      <c r="A32" s="4" t="s">
        <v>322</v>
      </c>
      <c r="B32" s="5">
        <v>45655</v>
      </c>
      <c r="C32" s="4" t="s">
        <v>61</v>
      </c>
      <c r="D32" s="4" t="s">
        <v>62</v>
      </c>
      <c r="E32" s="4" t="s">
        <v>119</v>
      </c>
      <c r="F32" s="4" t="s">
        <v>120</v>
      </c>
      <c r="G32" s="4" t="s">
        <v>21</v>
      </c>
      <c r="H32" s="19">
        <v>1</v>
      </c>
      <c r="I32" s="4">
        <v>89.99</v>
      </c>
      <c r="J32" s="4" t="s">
        <v>28</v>
      </c>
      <c r="K32" s="4" t="s">
        <v>37</v>
      </c>
      <c r="L32" s="4" t="s">
        <v>29</v>
      </c>
      <c r="M32" s="5">
        <v>44591</v>
      </c>
      <c r="N32" s="4">
        <v>89.99</v>
      </c>
    </row>
    <row r="33" spans="1:14" x14ac:dyDescent="0.3">
      <c r="A33" s="4" t="s">
        <v>324</v>
      </c>
      <c r="B33" s="5">
        <v>45657</v>
      </c>
      <c r="C33" s="4" t="s">
        <v>88</v>
      </c>
      <c r="D33" s="4" t="s">
        <v>89</v>
      </c>
      <c r="E33" s="4" t="s">
        <v>63</v>
      </c>
      <c r="F33" s="4" t="s">
        <v>64</v>
      </c>
      <c r="G33" s="4" t="s">
        <v>21</v>
      </c>
      <c r="H33" s="19">
        <v>1</v>
      </c>
      <c r="I33" s="4">
        <v>899.99</v>
      </c>
      <c r="J33" s="4" t="s">
        <v>36</v>
      </c>
      <c r="K33" s="4" t="s">
        <v>42</v>
      </c>
      <c r="L33" s="4" t="s">
        <v>29</v>
      </c>
      <c r="M33" s="5">
        <v>45050</v>
      </c>
      <c r="N33" s="4">
        <v>899.99</v>
      </c>
    </row>
    <row r="34" spans="1:14" x14ac:dyDescent="0.3">
      <c r="A34" s="4" t="s">
        <v>326</v>
      </c>
      <c r="B34" s="5">
        <v>45661</v>
      </c>
      <c r="C34" s="4" t="s">
        <v>327</v>
      </c>
      <c r="D34" s="4" t="s">
        <v>328</v>
      </c>
      <c r="E34" s="4" t="s">
        <v>63</v>
      </c>
      <c r="F34" s="4" t="s">
        <v>64</v>
      </c>
      <c r="G34" s="4" t="s">
        <v>21</v>
      </c>
      <c r="H34" s="19">
        <v>1</v>
      </c>
      <c r="I34" s="4">
        <v>899.99</v>
      </c>
      <c r="J34" s="4" t="s">
        <v>36</v>
      </c>
      <c r="K34" s="4" t="s">
        <v>42</v>
      </c>
      <c r="L34" s="4" t="s">
        <v>38</v>
      </c>
      <c r="M34" s="5">
        <v>44752</v>
      </c>
      <c r="N34" s="4">
        <v>899.99</v>
      </c>
    </row>
    <row r="35" spans="1:14" x14ac:dyDescent="0.3">
      <c r="A35" s="4" t="s">
        <v>353</v>
      </c>
      <c r="B35" s="5">
        <v>45692</v>
      </c>
      <c r="C35" s="4" t="s">
        <v>327</v>
      </c>
      <c r="D35" s="4" t="s">
        <v>328</v>
      </c>
      <c r="E35" s="4" t="s">
        <v>33</v>
      </c>
      <c r="F35" s="4" t="s">
        <v>34</v>
      </c>
      <c r="G35" s="4" t="s">
        <v>35</v>
      </c>
      <c r="H35" s="19">
        <v>1</v>
      </c>
      <c r="I35" s="4">
        <v>59.99</v>
      </c>
      <c r="J35" s="4" t="s">
        <v>59</v>
      </c>
      <c r="K35" s="4" t="s">
        <v>23</v>
      </c>
      <c r="L35" s="4" t="s">
        <v>38</v>
      </c>
      <c r="M35" s="5">
        <v>45045</v>
      </c>
      <c r="N35" s="4">
        <v>59.99</v>
      </c>
    </row>
    <row r="36" spans="1:14" x14ac:dyDescent="0.3">
      <c r="A36" s="4" t="s">
        <v>366</v>
      </c>
      <c r="B36" s="5">
        <v>45710</v>
      </c>
      <c r="C36" s="4" t="s">
        <v>152</v>
      </c>
      <c r="D36" s="4" t="s">
        <v>153</v>
      </c>
      <c r="E36" s="4" t="s">
        <v>82</v>
      </c>
      <c r="F36" s="4" t="s">
        <v>83</v>
      </c>
      <c r="G36" s="4" t="s">
        <v>21</v>
      </c>
      <c r="H36" s="19">
        <v>1</v>
      </c>
      <c r="I36" s="4">
        <v>699.99</v>
      </c>
      <c r="J36" s="4" t="s">
        <v>36</v>
      </c>
      <c r="K36" s="4" t="s">
        <v>52</v>
      </c>
      <c r="L36" s="4" t="s">
        <v>24</v>
      </c>
      <c r="M36" s="5">
        <v>44934</v>
      </c>
      <c r="N36" s="4">
        <v>699.99</v>
      </c>
    </row>
    <row r="37" spans="1:14" x14ac:dyDescent="0.3">
      <c r="A37" s="4" t="s">
        <v>367</v>
      </c>
      <c r="B37" s="5">
        <v>45711</v>
      </c>
      <c r="C37" s="4" t="s">
        <v>248</v>
      </c>
      <c r="D37" s="4" t="s">
        <v>249</v>
      </c>
      <c r="E37" s="4" t="s">
        <v>82</v>
      </c>
      <c r="F37" s="4" t="s">
        <v>83</v>
      </c>
      <c r="G37" s="4" t="s">
        <v>21</v>
      </c>
      <c r="H37" s="19">
        <v>1</v>
      </c>
      <c r="I37" s="4">
        <v>699.99</v>
      </c>
      <c r="J37" s="4" t="s">
        <v>22</v>
      </c>
      <c r="K37" s="4" t="s">
        <v>42</v>
      </c>
      <c r="L37" s="4" t="s">
        <v>29</v>
      </c>
      <c r="M37" s="5">
        <v>44583</v>
      </c>
      <c r="N37" s="4">
        <v>699.99</v>
      </c>
    </row>
    <row r="38" spans="1:14" x14ac:dyDescent="0.3">
      <c r="A38" s="4" t="s">
        <v>381</v>
      </c>
      <c r="B38" s="5">
        <v>45726</v>
      </c>
      <c r="C38" s="4" t="s">
        <v>146</v>
      </c>
      <c r="D38" s="4" t="s">
        <v>147</v>
      </c>
      <c r="E38" s="4" t="s">
        <v>19</v>
      </c>
      <c r="F38" s="4" t="s">
        <v>20</v>
      </c>
      <c r="G38" s="4" t="s">
        <v>21</v>
      </c>
      <c r="H38" s="19">
        <v>1</v>
      </c>
      <c r="I38" s="4">
        <v>249.99</v>
      </c>
      <c r="J38" s="4" t="s">
        <v>22</v>
      </c>
      <c r="K38" s="4" t="s">
        <v>42</v>
      </c>
      <c r="L38" s="4" t="s">
        <v>38</v>
      </c>
      <c r="M38" s="5">
        <v>45117</v>
      </c>
      <c r="N38" s="4">
        <v>249.99</v>
      </c>
    </row>
    <row r="39" spans="1:14" x14ac:dyDescent="0.3">
      <c r="A39" s="4" t="s">
        <v>397</v>
      </c>
      <c r="B39" s="5">
        <v>45756</v>
      </c>
      <c r="C39" s="4" t="s">
        <v>61</v>
      </c>
      <c r="D39" s="4" t="s">
        <v>62</v>
      </c>
      <c r="E39" s="4" t="s">
        <v>119</v>
      </c>
      <c r="F39" s="4" t="s">
        <v>120</v>
      </c>
      <c r="G39" s="4" t="s">
        <v>21</v>
      </c>
      <c r="H39" s="19">
        <v>1</v>
      </c>
      <c r="I39" s="4">
        <v>89.99</v>
      </c>
      <c r="J39" s="4" t="s">
        <v>59</v>
      </c>
      <c r="K39" s="4" t="s">
        <v>65</v>
      </c>
      <c r="L39" s="4" t="s">
        <v>24</v>
      </c>
      <c r="M39" s="5">
        <v>45346</v>
      </c>
      <c r="N39" s="4">
        <v>89.99</v>
      </c>
    </row>
    <row r="40" spans="1:14" x14ac:dyDescent="0.3">
      <c r="A40" s="4" t="s">
        <v>90</v>
      </c>
      <c r="B40" s="5">
        <v>45410</v>
      </c>
      <c r="C40" s="4" t="s">
        <v>91</v>
      </c>
      <c r="D40" s="4" t="s">
        <v>92</v>
      </c>
      <c r="E40" s="4" t="s">
        <v>82</v>
      </c>
      <c r="F40" s="4" t="s">
        <v>83</v>
      </c>
      <c r="G40" s="4" t="s">
        <v>21</v>
      </c>
      <c r="H40" s="19">
        <v>2</v>
      </c>
      <c r="I40" s="4">
        <v>699.99</v>
      </c>
      <c r="J40" s="4" t="s">
        <v>22</v>
      </c>
      <c r="K40" s="4" t="s">
        <v>42</v>
      </c>
      <c r="L40" s="4" t="s">
        <v>24</v>
      </c>
      <c r="M40" s="5">
        <v>44781</v>
      </c>
      <c r="N40" s="4">
        <v>1399.98</v>
      </c>
    </row>
    <row r="41" spans="1:14" x14ac:dyDescent="0.3">
      <c r="A41" s="4" t="s">
        <v>167</v>
      </c>
      <c r="B41" s="5">
        <v>45459</v>
      </c>
      <c r="C41" s="4" t="s">
        <v>101</v>
      </c>
      <c r="D41" s="4" t="s">
        <v>102</v>
      </c>
      <c r="E41" s="4" t="s">
        <v>119</v>
      </c>
      <c r="F41" s="4" t="s">
        <v>120</v>
      </c>
      <c r="G41" s="4" t="s">
        <v>21</v>
      </c>
      <c r="H41" s="19">
        <v>2</v>
      </c>
      <c r="I41" s="4">
        <v>89.99</v>
      </c>
      <c r="J41" s="4" t="s">
        <v>28</v>
      </c>
      <c r="K41" s="4" t="s">
        <v>37</v>
      </c>
      <c r="L41" s="4" t="s">
        <v>29</v>
      </c>
      <c r="M41" s="5">
        <v>44471</v>
      </c>
      <c r="N41" s="4">
        <v>179.98</v>
      </c>
    </row>
    <row r="42" spans="1:14" x14ac:dyDescent="0.3">
      <c r="A42" s="4" t="s">
        <v>176</v>
      </c>
      <c r="B42" s="5">
        <v>45469</v>
      </c>
      <c r="C42" s="4" t="s">
        <v>61</v>
      </c>
      <c r="D42" s="4" t="s">
        <v>62</v>
      </c>
      <c r="E42" s="4" t="s">
        <v>119</v>
      </c>
      <c r="F42" s="4" t="s">
        <v>120</v>
      </c>
      <c r="G42" s="4" t="s">
        <v>21</v>
      </c>
      <c r="H42" s="19">
        <v>2</v>
      </c>
      <c r="I42" s="4">
        <v>89.99</v>
      </c>
      <c r="J42" s="4" t="s">
        <v>22</v>
      </c>
      <c r="K42" s="4" t="s">
        <v>52</v>
      </c>
      <c r="L42" s="4" t="s">
        <v>24</v>
      </c>
      <c r="M42" s="5">
        <v>44438</v>
      </c>
      <c r="N42" s="4">
        <v>179.98</v>
      </c>
    </row>
    <row r="43" spans="1:14" x14ac:dyDescent="0.3">
      <c r="A43" s="4" t="s">
        <v>180</v>
      </c>
      <c r="B43" s="5">
        <v>45474</v>
      </c>
      <c r="C43" s="4" t="s">
        <v>134</v>
      </c>
      <c r="D43" s="4" t="s">
        <v>135</v>
      </c>
      <c r="E43" s="4" t="s">
        <v>119</v>
      </c>
      <c r="F43" s="4" t="s">
        <v>120</v>
      </c>
      <c r="G43" s="4" t="s">
        <v>21</v>
      </c>
      <c r="H43" s="19">
        <v>2</v>
      </c>
      <c r="I43" s="4">
        <v>89.99</v>
      </c>
      <c r="J43" s="4" t="s">
        <v>36</v>
      </c>
      <c r="K43" s="4" t="s">
        <v>23</v>
      </c>
      <c r="L43" s="4" t="s">
        <v>29</v>
      </c>
      <c r="M43" s="5">
        <v>45275</v>
      </c>
      <c r="N43" s="4">
        <v>179.98</v>
      </c>
    </row>
    <row r="44" spans="1:14" x14ac:dyDescent="0.3">
      <c r="A44" s="4" t="s">
        <v>189</v>
      </c>
      <c r="B44" s="5">
        <v>45481</v>
      </c>
      <c r="C44" s="4" t="s">
        <v>44</v>
      </c>
      <c r="D44" s="4" t="s">
        <v>45</v>
      </c>
      <c r="E44" s="4" t="s">
        <v>82</v>
      </c>
      <c r="F44" s="4" t="s">
        <v>83</v>
      </c>
      <c r="G44" s="4" t="s">
        <v>21</v>
      </c>
      <c r="H44" s="19">
        <v>2</v>
      </c>
      <c r="I44" s="4">
        <v>699.99</v>
      </c>
      <c r="J44" s="4" t="s">
        <v>36</v>
      </c>
      <c r="K44" s="4" t="s">
        <v>65</v>
      </c>
      <c r="L44" s="4" t="s">
        <v>29</v>
      </c>
      <c r="M44" s="5">
        <v>45389</v>
      </c>
      <c r="N44" s="4">
        <v>1399.98</v>
      </c>
    </row>
    <row r="45" spans="1:14" x14ac:dyDescent="0.3">
      <c r="A45" s="4" t="s">
        <v>206</v>
      </c>
      <c r="B45" s="5">
        <v>45500</v>
      </c>
      <c r="C45" s="4" t="s">
        <v>98</v>
      </c>
      <c r="D45" s="4" t="s">
        <v>99</v>
      </c>
      <c r="E45" s="4" t="s">
        <v>19</v>
      </c>
      <c r="F45" s="4" t="s">
        <v>20</v>
      </c>
      <c r="G45" s="4" t="s">
        <v>21</v>
      </c>
      <c r="H45" s="19">
        <v>2</v>
      </c>
      <c r="I45" s="4">
        <v>249.99</v>
      </c>
      <c r="J45" s="4" t="s">
        <v>22</v>
      </c>
      <c r="K45" s="4" t="s">
        <v>42</v>
      </c>
      <c r="L45" s="4" t="s">
        <v>29</v>
      </c>
      <c r="M45" s="5">
        <v>45164</v>
      </c>
      <c r="N45" s="4">
        <v>499.98</v>
      </c>
    </row>
    <row r="46" spans="1:14" x14ac:dyDescent="0.3">
      <c r="A46" s="4" t="s">
        <v>208</v>
      </c>
      <c r="B46" s="5">
        <v>45501</v>
      </c>
      <c r="C46" s="4" t="s">
        <v>88</v>
      </c>
      <c r="D46" s="4" t="s">
        <v>89</v>
      </c>
      <c r="E46" s="4" t="s">
        <v>119</v>
      </c>
      <c r="F46" s="4" t="s">
        <v>120</v>
      </c>
      <c r="G46" s="4" t="s">
        <v>21</v>
      </c>
      <c r="H46" s="19">
        <v>2</v>
      </c>
      <c r="I46" s="4">
        <v>89.99</v>
      </c>
      <c r="J46" s="4" t="s">
        <v>36</v>
      </c>
      <c r="K46" s="4" t="s">
        <v>37</v>
      </c>
      <c r="L46" s="4" t="s">
        <v>24</v>
      </c>
      <c r="M46" s="5">
        <v>44976</v>
      </c>
      <c r="N46" s="4">
        <v>179.98</v>
      </c>
    </row>
    <row r="47" spans="1:14" x14ac:dyDescent="0.3">
      <c r="A47" s="4" t="s">
        <v>210</v>
      </c>
      <c r="B47" s="5">
        <v>45503</v>
      </c>
      <c r="C47" s="4" t="s">
        <v>88</v>
      </c>
      <c r="D47" s="4" t="s">
        <v>89</v>
      </c>
      <c r="E47" s="4" t="s">
        <v>82</v>
      </c>
      <c r="F47" s="4" t="s">
        <v>83</v>
      </c>
      <c r="G47" s="4" t="s">
        <v>21</v>
      </c>
      <c r="H47" s="19">
        <v>2</v>
      </c>
      <c r="I47" s="4">
        <v>699.99</v>
      </c>
      <c r="J47" s="4" t="s">
        <v>28</v>
      </c>
      <c r="K47" s="4" t="s">
        <v>42</v>
      </c>
      <c r="L47" s="4" t="s">
        <v>29</v>
      </c>
      <c r="M47" s="5">
        <v>44999</v>
      </c>
      <c r="N47" s="4">
        <v>1399.98</v>
      </c>
    </row>
    <row r="48" spans="1:14" x14ac:dyDescent="0.3">
      <c r="A48" s="4" t="s">
        <v>223</v>
      </c>
      <c r="B48" s="5">
        <v>45522</v>
      </c>
      <c r="C48" s="4" t="s">
        <v>88</v>
      </c>
      <c r="D48" s="4" t="s">
        <v>89</v>
      </c>
      <c r="E48" s="4" t="s">
        <v>119</v>
      </c>
      <c r="F48" s="4" t="s">
        <v>120</v>
      </c>
      <c r="G48" s="4" t="s">
        <v>21</v>
      </c>
      <c r="H48" s="19">
        <v>2</v>
      </c>
      <c r="I48" s="4">
        <v>89.99</v>
      </c>
      <c r="J48" s="4" t="s">
        <v>22</v>
      </c>
      <c r="K48" s="4" t="s">
        <v>65</v>
      </c>
      <c r="L48" s="4" t="s">
        <v>29</v>
      </c>
      <c r="M48" s="5">
        <v>44972</v>
      </c>
      <c r="N48" s="4">
        <v>179.98</v>
      </c>
    </row>
    <row r="49" spans="1:14" x14ac:dyDescent="0.3">
      <c r="A49" s="4" t="s">
        <v>230</v>
      </c>
      <c r="B49" s="5">
        <v>45528</v>
      </c>
      <c r="C49" s="4" t="s">
        <v>146</v>
      </c>
      <c r="D49" s="4" t="s">
        <v>147</v>
      </c>
      <c r="E49" s="4" t="s">
        <v>19</v>
      </c>
      <c r="F49" s="4" t="s">
        <v>20</v>
      </c>
      <c r="G49" s="4" t="s">
        <v>21</v>
      </c>
      <c r="H49" s="19">
        <v>2</v>
      </c>
      <c r="I49" s="4">
        <v>249.99</v>
      </c>
      <c r="J49" s="4" t="s">
        <v>22</v>
      </c>
      <c r="K49" s="4" t="s">
        <v>37</v>
      </c>
      <c r="L49" s="4" t="s">
        <v>38</v>
      </c>
      <c r="M49" s="5">
        <v>44572</v>
      </c>
      <c r="N49" s="4">
        <v>499.98</v>
      </c>
    </row>
    <row r="50" spans="1:14" x14ac:dyDescent="0.3">
      <c r="A50" s="4" t="s">
        <v>235</v>
      </c>
      <c r="B50" s="5">
        <v>45534</v>
      </c>
      <c r="C50" s="4" t="s">
        <v>236</v>
      </c>
      <c r="D50" s="4" t="s">
        <v>237</v>
      </c>
      <c r="E50" s="4" t="s">
        <v>82</v>
      </c>
      <c r="F50" s="4" t="s">
        <v>83</v>
      </c>
      <c r="G50" s="4" t="s">
        <v>21</v>
      </c>
      <c r="H50" s="19">
        <v>2</v>
      </c>
      <c r="I50" s="4">
        <v>699.99</v>
      </c>
      <c r="J50" s="4" t="s">
        <v>28</v>
      </c>
      <c r="K50" s="4" t="s">
        <v>42</v>
      </c>
      <c r="L50" s="4" t="s">
        <v>29</v>
      </c>
      <c r="M50" s="5">
        <v>44421</v>
      </c>
      <c r="N50" s="4">
        <v>1399.98</v>
      </c>
    </row>
    <row r="51" spans="1:14" x14ac:dyDescent="0.3">
      <c r="A51" s="4" t="s">
        <v>240</v>
      </c>
      <c r="B51" s="5">
        <v>45538</v>
      </c>
      <c r="C51" s="4" t="s">
        <v>228</v>
      </c>
      <c r="D51" s="4" t="s">
        <v>229</v>
      </c>
      <c r="E51" s="4" t="s">
        <v>82</v>
      </c>
      <c r="F51" s="4" t="s">
        <v>83</v>
      </c>
      <c r="G51" s="4" t="s">
        <v>21</v>
      </c>
      <c r="H51" s="19">
        <v>2</v>
      </c>
      <c r="I51" s="4">
        <v>699.99</v>
      </c>
      <c r="J51" s="4" t="s">
        <v>59</v>
      </c>
      <c r="K51" s="4" t="s">
        <v>23</v>
      </c>
      <c r="L51" s="4" t="s">
        <v>29</v>
      </c>
      <c r="M51" s="5">
        <v>44870</v>
      </c>
      <c r="N51" s="4">
        <v>1399.98</v>
      </c>
    </row>
    <row r="52" spans="1:14" x14ac:dyDescent="0.3">
      <c r="A52" s="4" t="s">
        <v>246</v>
      </c>
      <c r="B52" s="5">
        <v>45548</v>
      </c>
      <c r="C52" s="4" t="s">
        <v>40</v>
      </c>
      <c r="D52" s="4" t="s">
        <v>41</v>
      </c>
      <c r="E52" s="4" t="s">
        <v>119</v>
      </c>
      <c r="F52" s="4" t="s">
        <v>120</v>
      </c>
      <c r="G52" s="4" t="s">
        <v>21</v>
      </c>
      <c r="H52" s="19">
        <v>2</v>
      </c>
      <c r="I52" s="4">
        <v>89.99</v>
      </c>
      <c r="J52" s="4" t="s">
        <v>28</v>
      </c>
      <c r="K52" s="4" t="s">
        <v>37</v>
      </c>
      <c r="L52" s="4" t="s">
        <v>29</v>
      </c>
      <c r="M52" s="5">
        <v>44641</v>
      </c>
      <c r="N52" s="4">
        <v>179.98</v>
      </c>
    </row>
    <row r="53" spans="1:14" x14ac:dyDescent="0.3">
      <c r="A53" s="4" t="s">
        <v>49</v>
      </c>
      <c r="B53" s="5">
        <v>45403</v>
      </c>
      <c r="C53" s="4" t="s">
        <v>50</v>
      </c>
      <c r="D53" s="4" t="s">
        <v>51</v>
      </c>
      <c r="E53" s="4" t="s">
        <v>33</v>
      </c>
      <c r="F53" s="4" t="s">
        <v>34</v>
      </c>
      <c r="G53" s="4" t="s">
        <v>35</v>
      </c>
      <c r="H53" s="19">
        <v>2</v>
      </c>
      <c r="I53" s="4">
        <v>59.99</v>
      </c>
      <c r="J53" s="4" t="s">
        <v>22</v>
      </c>
      <c r="K53" s="4" t="s">
        <v>52</v>
      </c>
      <c r="L53" s="4" t="s">
        <v>38</v>
      </c>
      <c r="M53" s="5">
        <v>44746</v>
      </c>
      <c r="N53" s="4">
        <v>119.98</v>
      </c>
    </row>
    <row r="54" spans="1:14" x14ac:dyDescent="0.3">
      <c r="A54" s="4" t="s">
        <v>121</v>
      </c>
      <c r="B54" s="5">
        <v>45425</v>
      </c>
      <c r="C54" s="4" t="s">
        <v>122</v>
      </c>
      <c r="D54" s="4" t="s">
        <v>123</v>
      </c>
      <c r="E54" s="4" t="s">
        <v>33</v>
      </c>
      <c r="F54" s="4" t="s">
        <v>34</v>
      </c>
      <c r="G54" s="4" t="s">
        <v>35</v>
      </c>
      <c r="H54" s="19">
        <v>2</v>
      </c>
      <c r="I54" s="4">
        <v>59.99</v>
      </c>
      <c r="J54" s="4" t="s">
        <v>59</v>
      </c>
      <c r="K54" s="4" t="s">
        <v>23</v>
      </c>
      <c r="L54" s="4" t="s">
        <v>38</v>
      </c>
      <c r="M54" s="5">
        <v>45214</v>
      </c>
      <c r="N54" s="4">
        <v>119.98</v>
      </c>
    </row>
    <row r="55" spans="1:14" x14ac:dyDescent="0.3">
      <c r="A55" s="4" t="s">
        <v>250</v>
      </c>
      <c r="B55" s="5">
        <v>45551</v>
      </c>
      <c r="C55" s="4" t="s">
        <v>67</v>
      </c>
      <c r="D55" s="4" t="s">
        <v>68</v>
      </c>
      <c r="E55" s="4" t="s">
        <v>19</v>
      </c>
      <c r="F55" s="4" t="s">
        <v>20</v>
      </c>
      <c r="G55" s="4" t="s">
        <v>21</v>
      </c>
      <c r="H55" s="19">
        <v>2</v>
      </c>
      <c r="I55" s="4">
        <v>249.99</v>
      </c>
      <c r="J55" s="4" t="s">
        <v>36</v>
      </c>
      <c r="K55" s="4" t="s">
        <v>37</v>
      </c>
      <c r="L55" s="4" t="s">
        <v>24</v>
      </c>
      <c r="M55" s="5">
        <v>44993</v>
      </c>
      <c r="N55" s="4">
        <v>499.98</v>
      </c>
    </row>
    <row r="56" spans="1:14" x14ac:dyDescent="0.3">
      <c r="A56" s="4" t="s">
        <v>151</v>
      </c>
      <c r="B56" s="5">
        <v>45444</v>
      </c>
      <c r="C56" s="4" t="s">
        <v>152</v>
      </c>
      <c r="D56" s="4" t="s">
        <v>153</v>
      </c>
      <c r="E56" s="4" t="s">
        <v>33</v>
      </c>
      <c r="F56" s="4" t="s">
        <v>34</v>
      </c>
      <c r="G56" s="4" t="s">
        <v>35</v>
      </c>
      <c r="H56" s="19">
        <v>2</v>
      </c>
      <c r="I56" s="4">
        <v>59.99</v>
      </c>
      <c r="J56" s="4" t="s">
        <v>22</v>
      </c>
      <c r="K56" s="4" t="s">
        <v>52</v>
      </c>
      <c r="L56" s="4" t="s">
        <v>24</v>
      </c>
      <c r="M56" s="5">
        <v>45390</v>
      </c>
      <c r="N56" s="4">
        <v>119.98</v>
      </c>
    </row>
    <row r="57" spans="1:14" x14ac:dyDescent="0.3">
      <c r="A57" s="4" t="s">
        <v>266</v>
      </c>
      <c r="B57" s="5">
        <v>45573</v>
      </c>
      <c r="C57" s="4" t="s">
        <v>213</v>
      </c>
      <c r="D57" s="4" t="s">
        <v>214</v>
      </c>
      <c r="E57" s="4" t="s">
        <v>82</v>
      </c>
      <c r="F57" s="4" t="s">
        <v>83</v>
      </c>
      <c r="G57" s="4" t="s">
        <v>21</v>
      </c>
      <c r="H57" s="19">
        <v>2</v>
      </c>
      <c r="I57" s="4">
        <v>699.99</v>
      </c>
      <c r="J57" s="4" t="s">
        <v>59</v>
      </c>
      <c r="K57" s="4" t="s">
        <v>65</v>
      </c>
      <c r="L57" s="4" t="s">
        <v>29</v>
      </c>
      <c r="M57" s="5">
        <v>45274</v>
      </c>
      <c r="N57" s="4">
        <v>1399.98</v>
      </c>
    </row>
    <row r="58" spans="1:14" x14ac:dyDescent="0.3">
      <c r="A58" s="4" t="s">
        <v>273</v>
      </c>
      <c r="B58" s="5">
        <v>45583</v>
      </c>
      <c r="C58" s="4" t="s">
        <v>228</v>
      </c>
      <c r="D58" s="4" t="s">
        <v>229</v>
      </c>
      <c r="E58" s="4" t="s">
        <v>54</v>
      </c>
      <c r="F58" s="4" t="s">
        <v>55</v>
      </c>
      <c r="G58" s="4" t="s">
        <v>21</v>
      </c>
      <c r="H58" s="19">
        <v>2</v>
      </c>
      <c r="I58" s="4">
        <v>149.99</v>
      </c>
      <c r="J58" s="4" t="s">
        <v>28</v>
      </c>
      <c r="K58" s="4" t="s">
        <v>52</v>
      </c>
      <c r="L58" s="4" t="s">
        <v>24</v>
      </c>
      <c r="M58" s="5">
        <v>44916</v>
      </c>
      <c r="N58" s="4">
        <v>299.98</v>
      </c>
    </row>
    <row r="59" spans="1:14" x14ac:dyDescent="0.3">
      <c r="A59" s="4" t="s">
        <v>275</v>
      </c>
      <c r="B59" s="5">
        <v>45588</v>
      </c>
      <c r="C59" s="4" t="s">
        <v>40</v>
      </c>
      <c r="D59" s="4" t="s">
        <v>41</v>
      </c>
      <c r="E59" s="4" t="s">
        <v>54</v>
      </c>
      <c r="F59" s="4" t="s">
        <v>55</v>
      </c>
      <c r="G59" s="4" t="s">
        <v>21</v>
      </c>
      <c r="H59" s="19">
        <v>2</v>
      </c>
      <c r="I59" s="4">
        <v>149.99</v>
      </c>
      <c r="J59" s="4" t="s">
        <v>36</v>
      </c>
      <c r="K59" s="4" t="s">
        <v>23</v>
      </c>
      <c r="L59" s="4" t="s">
        <v>24</v>
      </c>
      <c r="M59" s="5">
        <v>44473</v>
      </c>
      <c r="N59" s="4">
        <v>299.98</v>
      </c>
    </row>
    <row r="60" spans="1:14" x14ac:dyDescent="0.3">
      <c r="A60" s="4" t="s">
        <v>130</v>
      </c>
      <c r="B60" s="5">
        <v>45428</v>
      </c>
      <c r="C60" s="4" t="s">
        <v>131</v>
      </c>
      <c r="D60" s="4" t="s">
        <v>132</v>
      </c>
      <c r="E60" s="4" t="s">
        <v>46</v>
      </c>
      <c r="F60" s="4" t="s">
        <v>47</v>
      </c>
      <c r="G60" s="4" t="s">
        <v>48</v>
      </c>
      <c r="H60" s="19">
        <v>2</v>
      </c>
      <c r="I60" s="4">
        <v>149.99</v>
      </c>
      <c r="J60" s="4" t="s">
        <v>28</v>
      </c>
      <c r="K60" s="4" t="s">
        <v>52</v>
      </c>
      <c r="L60" s="4" t="s">
        <v>24</v>
      </c>
      <c r="M60" s="5">
        <v>44823</v>
      </c>
      <c r="N60" s="4">
        <v>299.98</v>
      </c>
    </row>
    <row r="61" spans="1:14" x14ac:dyDescent="0.3">
      <c r="A61" s="4" t="s">
        <v>276</v>
      </c>
      <c r="B61" s="5">
        <v>45588</v>
      </c>
      <c r="C61" s="4" t="s">
        <v>156</v>
      </c>
      <c r="D61" s="4" t="s">
        <v>157</v>
      </c>
      <c r="E61" s="4" t="s">
        <v>82</v>
      </c>
      <c r="F61" s="4" t="s">
        <v>83</v>
      </c>
      <c r="G61" s="4" t="s">
        <v>21</v>
      </c>
      <c r="H61" s="19">
        <v>2</v>
      </c>
      <c r="I61" s="4">
        <v>699.99</v>
      </c>
      <c r="J61" s="4" t="s">
        <v>22</v>
      </c>
      <c r="K61" s="4" t="s">
        <v>23</v>
      </c>
      <c r="L61" s="4" t="s">
        <v>24</v>
      </c>
      <c r="M61" s="5">
        <v>44992</v>
      </c>
      <c r="N61" s="4">
        <v>1399.98</v>
      </c>
    </row>
    <row r="62" spans="1:14" x14ac:dyDescent="0.3">
      <c r="A62" s="4" t="s">
        <v>162</v>
      </c>
      <c r="B62" s="5">
        <v>45450</v>
      </c>
      <c r="C62" s="4" t="s">
        <v>44</v>
      </c>
      <c r="D62" s="4" t="s">
        <v>45</v>
      </c>
      <c r="E62" s="4" t="s">
        <v>46</v>
      </c>
      <c r="F62" s="4" t="s">
        <v>47</v>
      </c>
      <c r="G62" s="4" t="s">
        <v>48</v>
      </c>
      <c r="H62" s="19">
        <v>2</v>
      </c>
      <c r="I62" s="4">
        <v>149.99</v>
      </c>
      <c r="J62" s="4" t="s">
        <v>22</v>
      </c>
      <c r="K62" s="4" t="s">
        <v>65</v>
      </c>
      <c r="L62" s="4" t="s">
        <v>29</v>
      </c>
      <c r="M62" s="5">
        <v>44645</v>
      </c>
      <c r="N62" s="4">
        <v>299.98</v>
      </c>
    </row>
    <row r="63" spans="1:14" x14ac:dyDescent="0.3">
      <c r="A63" s="4" t="s">
        <v>290</v>
      </c>
      <c r="B63" s="5">
        <v>45613</v>
      </c>
      <c r="C63" s="4" t="s">
        <v>88</v>
      </c>
      <c r="D63" s="4" t="s">
        <v>89</v>
      </c>
      <c r="E63" s="4" t="s">
        <v>82</v>
      </c>
      <c r="F63" s="4" t="s">
        <v>83</v>
      </c>
      <c r="G63" s="4" t="s">
        <v>21</v>
      </c>
      <c r="H63" s="19">
        <v>2</v>
      </c>
      <c r="I63" s="4">
        <v>699.99</v>
      </c>
      <c r="J63" s="4" t="s">
        <v>36</v>
      </c>
      <c r="K63" s="4" t="s">
        <v>52</v>
      </c>
      <c r="L63" s="4" t="s">
        <v>38</v>
      </c>
      <c r="M63" s="5">
        <v>44770</v>
      </c>
      <c r="N63" s="4">
        <v>1399.98</v>
      </c>
    </row>
    <row r="64" spans="1:14" x14ac:dyDescent="0.3">
      <c r="A64" s="4" t="s">
        <v>300</v>
      </c>
      <c r="B64" s="5">
        <v>45627</v>
      </c>
      <c r="C64" s="4" t="s">
        <v>26</v>
      </c>
      <c r="D64" s="4" t="s">
        <v>27</v>
      </c>
      <c r="E64" s="4" t="s">
        <v>54</v>
      </c>
      <c r="F64" s="4" t="s">
        <v>55</v>
      </c>
      <c r="G64" s="4" t="s">
        <v>21</v>
      </c>
      <c r="H64" s="19">
        <v>2</v>
      </c>
      <c r="I64" s="4">
        <v>149.99</v>
      </c>
      <c r="J64" s="4" t="s">
        <v>22</v>
      </c>
      <c r="K64" s="4" t="s">
        <v>37</v>
      </c>
      <c r="L64" s="4" t="s">
        <v>29</v>
      </c>
      <c r="M64" s="5">
        <v>44475</v>
      </c>
      <c r="N64" s="4">
        <v>299.98</v>
      </c>
    </row>
    <row r="65" spans="1:14" x14ac:dyDescent="0.3">
      <c r="A65" s="4" t="s">
        <v>304</v>
      </c>
      <c r="B65" s="5">
        <v>45635</v>
      </c>
      <c r="C65" s="4" t="s">
        <v>110</v>
      </c>
      <c r="D65" s="4" t="s">
        <v>111</v>
      </c>
      <c r="E65" s="4" t="s">
        <v>19</v>
      </c>
      <c r="F65" s="4" t="s">
        <v>20</v>
      </c>
      <c r="G65" s="4" t="s">
        <v>21</v>
      </c>
      <c r="H65" s="19">
        <v>2</v>
      </c>
      <c r="I65" s="4">
        <v>249.99</v>
      </c>
      <c r="J65" s="4" t="s">
        <v>28</v>
      </c>
      <c r="K65" s="4" t="s">
        <v>23</v>
      </c>
      <c r="L65" s="4" t="s">
        <v>29</v>
      </c>
      <c r="M65" s="5">
        <v>44396</v>
      </c>
      <c r="N65" s="4">
        <v>499.98</v>
      </c>
    </row>
    <row r="66" spans="1:14" x14ac:dyDescent="0.3">
      <c r="A66" s="4" t="s">
        <v>310</v>
      </c>
      <c r="B66" s="5">
        <v>45638</v>
      </c>
      <c r="C66" s="4" t="s">
        <v>74</v>
      </c>
      <c r="D66" s="4" t="s">
        <v>75</v>
      </c>
      <c r="E66" s="4" t="s">
        <v>63</v>
      </c>
      <c r="F66" s="4" t="s">
        <v>64</v>
      </c>
      <c r="G66" s="4" t="s">
        <v>21</v>
      </c>
      <c r="H66" s="19">
        <v>2</v>
      </c>
      <c r="I66" s="4">
        <v>899.99</v>
      </c>
      <c r="J66" s="4" t="s">
        <v>22</v>
      </c>
      <c r="K66" s="4" t="s">
        <v>42</v>
      </c>
      <c r="L66" s="4" t="s">
        <v>24</v>
      </c>
      <c r="M66" s="5">
        <v>44406</v>
      </c>
      <c r="N66" s="4">
        <v>1799.98</v>
      </c>
    </row>
    <row r="67" spans="1:14" x14ac:dyDescent="0.3">
      <c r="A67" s="4" t="s">
        <v>171</v>
      </c>
      <c r="B67" s="5">
        <v>45460</v>
      </c>
      <c r="C67" s="4" t="s">
        <v>143</v>
      </c>
      <c r="D67" s="4" t="s">
        <v>144</v>
      </c>
      <c r="E67" s="4" t="s">
        <v>107</v>
      </c>
      <c r="F67" s="4" t="s">
        <v>108</v>
      </c>
      <c r="G67" s="4" t="s">
        <v>48</v>
      </c>
      <c r="H67" s="19">
        <v>2</v>
      </c>
      <c r="I67" s="4">
        <v>299.99</v>
      </c>
      <c r="J67" s="4" t="s">
        <v>59</v>
      </c>
      <c r="K67" s="4" t="s">
        <v>65</v>
      </c>
      <c r="L67" s="4" t="s">
        <v>38</v>
      </c>
      <c r="M67" s="5">
        <v>45253</v>
      </c>
      <c r="N67" s="4">
        <v>599.98</v>
      </c>
    </row>
    <row r="68" spans="1:14" x14ac:dyDescent="0.3">
      <c r="A68" s="4" t="s">
        <v>317</v>
      </c>
      <c r="B68" s="5">
        <v>45648</v>
      </c>
      <c r="C68" s="4" t="s">
        <v>114</v>
      </c>
      <c r="D68" s="4" t="s">
        <v>115</v>
      </c>
      <c r="E68" s="4" t="s">
        <v>54</v>
      </c>
      <c r="F68" s="4" t="s">
        <v>55</v>
      </c>
      <c r="G68" s="4" t="s">
        <v>21</v>
      </c>
      <c r="H68" s="19">
        <v>2</v>
      </c>
      <c r="I68" s="4">
        <v>149.99</v>
      </c>
      <c r="J68" s="4" t="s">
        <v>59</v>
      </c>
      <c r="K68" s="4" t="s">
        <v>52</v>
      </c>
      <c r="L68" s="4" t="s">
        <v>29</v>
      </c>
      <c r="M68" s="5">
        <v>45280</v>
      </c>
      <c r="N68" s="4">
        <v>299.98</v>
      </c>
    </row>
    <row r="69" spans="1:14" x14ac:dyDescent="0.3">
      <c r="A69" s="4" t="s">
        <v>196</v>
      </c>
      <c r="B69" s="5">
        <v>45487</v>
      </c>
      <c r="C69" s="4" t="s">
        <v>194</v>
      </c>
      <c r="D69" s="4" t="s">
        <v>195</v>
      </c>
      <c r="E69" s="4" t="s">
        <v>128</v>
      </c>
      <c r="F69" s="4" t="s">
        <v>129</v>
      </c>
      <c r="G69" s="4" t="s">
        <v>48</v>
      </c>
      <c r="H69" s="19">
        <v>2</v>
      </c>
      <c r="I69" s="4">
        <v>199.99</v>
      </c>
      <c r="J69" s="4" t="s">
        <v>22</v>
      </c>
      <c r="K69" s="4" t="s">
        <v>42</v>
      </c>
      <c r="L69" s="4" t="s">
        <v>24</v>
      </c>
      <c r="M69" s="5">
        <v>44541</v>
      </c>
      <c r="N69" s="4">
        <v>399.98</v>
      </c>
    </row>
    <row r="70" spans="1:14" x14ac:dyDescent="0.3">
      <c r="A70" s="4" t="s">
        <v>325</v>
      </c>
      <c r="B70" s="5">
        <v>45660</v>
      </c>
      <c r="C70" s="4" t="s">
        <v>149</v>
      </c>
      <c r="D70" s="4" t="s">
        <v>150</v>
      </c>
      <c r="E70" s="4" t="s">
        <v>119</v>
      </c>
      <c r="F70" s="4" t="s">
        <v>120</v>
      </c>
      <c r="G70" s="4" t="s">
        <v>21</v>
      </c>
      <c r="H70" s="19">
        <v>2</v>
      </c>
      <c r="I70" s="4">
        <v>89.99</v>
      </c>
      <c r="J70" s="4" t="s">
        <v>28</v>
      </c>
      <c r="K70" s="4" t="s">
        <v>37</v>
      </c>
      <c r="L70" s="4" t="s">
        <v>29</v>
      </c>
      <c r="M70" s="5">
        <v>44564</v>
      </c>
      <c r="N70" s="4">
        <v>179.98</v>
      </c>
    </row>
    <row r="71" spans="1:14" x14ac:dyDescent="0.3">
      <c r="A71" s="4" t="s">
        <v>339</v>
      </c>
      <c r="B71" s="5">
        <v>45671</v>
      </c>
      <c r="C71" s="4" t="s">
        <v>122</v>
      </c>
      <c r="D71" s="4" t="s">
        <v>123</v>
      </c>
      <c r="E71" s="4" t="s">
        <v>54</v>
      </c>
      <c r="F71" s="4" t="s">
        <v>55</v>
      </c>
      <c r="G71" s="4" t="s">
        <v>21</v>
      </c>
      <c r="H71" s="19">
        <v>2</v>
      </c>
      <c r="I71" s="4">
        <v>149.99</v>
      </c>
      <c r="J71" s="4" t="s">
        <v>22</v>
      </c>
      <c r="K71" s="4" t="s">
        <v>42</v>
      </c>
      <c r="L71" s="4" t="s">
        <v>38</v>
      </c>
      <c r="M71" s="5">
        <v>44913</v>
      </c>
      <c r="N71" s="4">
        <v>299.98</v>
      </c>
    </row>
    <row r="72" spans="1:14" x14ac:dyDescent="0.3">
      <c r="A72" s="4" t="s">
        <v>349</v>
      </c>
      <c r="B72" s="5">
        <v>45686</v>
      </c>
      <c r="C72" s="4" t="s">
        <v>295</v>
      </c>
      <c r="D72" s="4" t="s">
        <v>296</v>
      </c>
      <c r="E72" s="4" t="s">
        <v>82</v>
      </c>
      <c r="F72" s="4" t="s">
        <v>83</v>
      </c>
      <c r="G72" s="4" t="s">
        <v>21</v>
      </c>
      <c r="H72" s="19">
        <v>2</v>
      </c>
      <c r="I72" s="4">
        <v>699.99</v>
      </c>
      <c r="J72" s="4" t="s">
        <v>59</v>
      </c>
      <c r="K72" s="4" t="s">
        <v>23</v>
      </c>
      <c r="L72" s="4" t="s">
        <v>29</v>
      </c>
      <c r="M72" s="5">
        <v>44681</v>
      </c>
      <c r="N72" s="4">
        <v>1399.98</v>
      </c>
    </row>
    <row r="73" spans="1:14" x14ac:dyDescent="0.3">
      <c r="A73" s="4" t="s">
        <v>204</v>
      </c>
      <c r="B73" s="5">
        <v>45498</v>
      </c>
      <c r="C73" s="4" t="s">
        <v>184</v>
      </c>
      <c r="D73" s="4" t="s">
        <v>185</v>
      </c>
      <c r="E73" s="4" t="s">
        <v>33</v>
      </c>
      <c r="F73" s="4" t="s">
        <v>34</v>
      </c>
      <c r="G73" s="4" t="s">
        <v>35</v>
      </c>
      <c r="H73" s="19">
        <v>2</v>
      </c>
      <c r="I73" s="4">
        <v>59.99</v>
      </c>
      <c r="J73" s="4" t="s">
        <v>22</v>
      </c>
      <c r="K73" s="4" t="s">
        <v>42</v>
      </c>
      <c r="L73" s="4" t="s">
        <v>38</v>
      </c>
      <c r="M73" s="5">
        <v>45152</v>
      </c>
      <c r="N73" s="4">
        <v>119.98</v>
      </c>
    </row>
    <row r="74" spans="1:14" x14ac:dyDescent="0.3">
      <c r="A74" s="4" t="s">
        <v>212</v>
      </c>
      <c r="B74" s="5">
        <v>45509</v>
      </c>
      <c r="C74" s="4" t="s">
        <v>213</v>
      </c>
      <c r="D74" s="4" t="s">
        <v>214</v>
      </c>
      <c r="E74" s="4" t="s">
        <v>46</v>
      </c>
      <c r="F74" s="4" t="s">
        <v>47</v>
      </c>
      <c r="G74" s="4" t="s">
        <v>48</v>
      </c>
      <c r="H74" s="19">
        <v>2</v>
      </c>
      <c r="I74" s="4">
        <v>149.99</v>
      </c>
      <c r="J74" s="4" t="s">
        <v>28</v>
      </c>
      <c r="K74" s="4" t="s">
        <v>52</v>
      </c>
      <c r="L74" s="4" t="s">
        <v>24</v>
      </c>
      <c r="M74" s="5">
        <v>44542</v>
      </c>
      <c r="N74" s="4">
        <v>299.98</v>
      </c>
    </row>
    <row r="75" spans="1:14" x14ac:dyDescent="0.3">
      <c r="A75" s="4" t="s">
        <v>351</v>
      </c>
      <c r="B75" s="5">
        <v>45688</v>
      </c>
      <c r="C75" s="4" t="s">
        <v>125</v>
      </c>
      <c r="D75" s="4" t="s">
        <v>126</v>
      </c>
      <c r="E75" s="4" t="s">
        <v>119</v>
      </c>
      <c r="F75" s="4" t="s">
        <v>120</v>
      </c>
      <c r="G75" s="4" t="s">
        <v>21</v>
      </c>
      <c r="H75" s="19">
        <v>2</v>
      </c>
      <c r="I75" s="4">
        <v>89.99</v>
      </c>
      <c r="J75" s="4" t="s">
        <v>59</v>
      </c>
      <c r="K75" s="4" t="s">
        <v>37</v>
      </c>
      <c r="L75" s="4" t="s">
        <v>24</v>
      </c>
      <c r="M75" s="5">
        <v>44777</v>
      </c>
      <c r="N75" s="4">
        <v>179.98</v>
      </c>
    </row>
    <row r="76" spans="1:14" x14ac:dyDescent="0.3">
      <c r="A76" s="4" t="s">
        <v>359</v>
      </c>
      <c r="B76" s="5">
        <v>45704</v>
      </c>
      <c r="C76" s="4" t="s">
        <v>17</v>
      </c>
      <c r="D76" s="4" t="s">
        <v>18</v>
      </c>
      <c r="E76" s="4" t="s">
        <v>119</v>
      </c>
      <c r="F76" s="4" t="s">
        <v>120</v>
      </c>
      <c r="G76" s="4" t="s">
        <v>21</v>
      </c>
      <c r="H76" s="19">
        <v>2</v>
      </c>
      <c r="I76" s="4">
        <v>89.99</v>
      </c>
      <c r="J76" s="4" t="s">
        <v>36</v>
      </c>
      <c r="K76" s="4" t="s">
        <v>23</v>
      </c>
      <c r="L76" s="4" t="s">
        <v>24</v>
      </c>
      <c r="M76" s="5">
        <v>45257</v>
      </c>
      <c r="N76" s="4">
        <v>179.98</v>
      </c>
    </row>
    <row r="77" spans="1:14" x14ac:dyDescent="0.3">
      <c r="A77" s="4" t="s">
        <v>215</v>
      </c>
      <c r="B77" s="5">
        <v>45510</v>
      </c>
      <c r="C77" s="4" t="s">
        <v>104</v>
      </c>
      <c r="D77" s="4" t="s">
        <v>105</v>
      </c>
      <c r="E77" s="4" t="s">
        <v>46</v>
      </c>
      <c r="F77" s="4" t="s">
        <v>47</v>
      </c>
      <c r="G77" s="4" t="s">
        <v>48</v>
      </c>
      <c r="H77" s="19">
        <v>2</v>
      </c>
      <c r="I77" s="4">
        <v>149.99</v>
      </c>
      <c r="J77" s="4" t="s">
        <v>59</v>
      </c>
      <c r="K77" s="4" t="s">
        <v>65</v>
      </c>
      <c r="L77" s="4" t="s">
        <v>38</v>
      </c>
      <c r="M77" s="5">
        <v>44667</v>
      </c>
      <c r="N77" s="4">
        <v>299.98</v>
      </c>
    </row>
    <row r="78" spans="1:14" x14ac:dyDescent="0.3">
      <c r="A78" s="4" t="s">
        <v>259</v>
      </c>
      <c r="B78" s="5">
        <v>45563</v>
      </c>
      <c r="C78" s="4" t="s">
        <v>101</v>
      </c>
      <c r="D78" s="4" t="s">
        <v>102</v>
      </c>
      <c r="E78" s="4" t="s">
        <v>107</v>
      </c>
      <c r="F78" s="4" t="s">
        <v>108</v>
      </c>
      <c r="G78" s="4" t="s">
        <v>48</v>
      </c>
      <c r="H78" s="19">
        <v>2</v>
      </c>
      <c r="I78" s="4">
        <v>299.99</v>
      </c>
      <c r="J78" s="4" t="s">
        <v>59</v>
      </c>
      <c r="K78" s="4" t="s">
        <v>23</v>
      </c>
      <c r="L78" s="4" t="s">
        <v>24</v>
      </c>
      <c r="M78" s="5">
        <v>44569</v>
      </c>
      <c r="N78" s="4">
        <v>599.98</v>
      </c>
    </row>
    <row r="79" spans="1:14" x14ac:dyDescent="0.3">
      <c r="A79" s="4" t="s">
        <v>282</v>
      </c>
      <c r="B79" s="5">
        <v>45604</v>
      </c>
      <c r="C79" s="4" t="s">
        <v>91</v>
      </c>
      <c r="D79" s="4" t="s">
        <v>92</v>
      </c>
      <c r="E79" s="4" t="s">
        <v>46</v>
      </c>
      <c r="F79" s="4" t="s">
        <v>47</v>
      </c>
      <c r="G79" s="4" t="s">
        <v>48</v>
      </c>
      <c r="H79" s="19">
        <v>2</v>
      </c>
      <c r="I79" s="4">
        <v>149.99</v>
      </c>
      <c r="J79" s="4" t="s">
        <v>28</v>
      </c>
      <c r="K79" s="4" t="s">
        <v>52</v>
      </c>
      <c r="L79" s="4" t="s">
        <v>29</v>
      </c>
      <c r="M79" s="5">
        <v>44848</v>
      </c>
      <c r="N79" s="4">
        <v>299.98</v>
      </c>
    </row>
    <row r="80" spans="1:14" x14ac:dyDescent="0.3">
      <c r="A80" s="4" t="s">
        <v>297</v>
      </c>
      <c r="B80" s="5">
        <v>45623</v>
      </c>
      <c r="C80" s="4" t="s">
        <v>114</v>
      </c>
      <c r="D80" s="4" t="s">
        <v>115</v>
      </c>
      <c r="E80" s="4" t="s">
        <v>46</v>
      </c>
      <c r="F80" s="4" t="s">
        <v>47</v>
      </c>
      <c r="G80" s="4" t="s">
        <v>48</v>
      </c>
      <c r="H80" s="19">
        <v>2</v>
      </c>
      <c r="I80" s="4">
        <v>149.99</v>
      </c>
      <c r="J80" s="4" t="s">
        <v>22</v>
      </c>
      <c r="K80" s="4" t="s">
        <v>37</v>
      </c>
      <c r="L80" s="4" t="s">
        <v>38</v>
      </c>
      <c r="M80" s="5">
        <v>45101</v>
      </c>
      <c r="N80" s="4">
        <v>299.98</v>
      </c>
    </row>
    <row r="81" spans="1:14" x14ac:dyDescent="0.3">
      <c r="A81" s="4" t="s">
        <v>264</v>
      </c>
      <c r="B81" s="5">
        <v>45572</v>
      </c>
      <c r="C81" s="4" t="s">
        <v>91</v>
      </c>
      <c r="D81" s="4" t="s">
        <v>92</v>
      </c>
      <c r="E81" s="4" t="s">
        <v>33</v>
      </c>
      <c r="F81" s="4" t="s">
        <v>34</v>
      </c>
      <c r="G81" s="4" t="s">
        <v>35</v>
      </c>
      <c r="H81" s="19">
        <v>2</v>
      </c>
      <c r="I81" s="4">
        <v>59.99</v>
      </c>
      <c r="J81" s="4" t="s">
        <v>28</v>
      </c>
      <c r="K81" s="4" t="s">
        <v>23</v>
      </c>
      <c r="L81" s="4" t="s">
        <v>24</v>
      </c>
      <c r="M81" s="5">
        <v>44579</v>
      </c>
      <c r="N81" s="4">
        <v>119.98</v>
      </c>
    </row>
    <row r="82" spans="1:14" x14ac:dyDescent="0.3">
      <c r="A82" s="4" t="s">
        <v>313</v>
      </c>
      <c r="B82" s="5">
        <v>45644</v>
      </c>
      <c r="C82" s="4" t="s">
        <v>134</v>
      </c>
      <c r="D82" s="4" t="s">
        <v>135</v>
      </c>
      <c r="E82" s="4" t="s">
        <v>33</v>
      </c>
      <c r="F82" s="4" t="s">
        <v>34</v>
      </c>
      <c r="G82" s="4" t="s">
        <v>35</v>
      </c>
      <c r="H82" s="19">
        <v>2</v>
      </c>
      <c r="I82" s="4">
        <v>59.99</v>
      </c>
      <c r="J82" s="4" t="s">
        <v>22</v>
      </c>
      <c r="K82" s="4" t="s">
        <v>52</v>
      </c>
      <c r="L82" s="4" t="s">
        <v>24</v>
      </c>
      <c r="M82" s="5">
        <v>45191</v>
      </c>
      <c r="N82" s="4">
        <v>119.98</v>
      </c>
    </row>
    <row r="83" spans="1:14" x14ac:dyDescent="0.3">
      <c r="A83" s="4" t="s">
        <v>376</v>
      </c>
      <c r="B83" s="5">
        <v>45723</v>
      </c>
      <c r="C83" s="4" t="s">
        <v>17</v>
      </c>
      <c r="D83" s="4" t="s">
        <v>18</v>
      </c>
      <c r="E83" s="4" t="s">
        <v>119</v>
      </c>
      <c r="F83" s="4" t="s">
        <v>120</v>
      </c>
      <c r="G83" s="4" t="s">
        <v>21</v>
      </c>
      <c r="H83" s="19">
        <v>2</v>
      </c>
      <c r="I83" s="4">
        <v>89.99</v>
      </c>
      <c r="J83" s="4" t="s">
        <v>28</v>
      </c>
      <c r="K83" s="4" t="s">
        <v>52</v>
      </c>
      <c r="L83" s="4" t="s">
        <v>29</v>
      </c>
      <c r="M83" s="5">
        <v>45295</v>
      </c>
      <c r="N83" s="4">
        <v>179.98</v>
      </c>
    </row>
    <row r="84" spans="1:14" x14ac:dyDescent="0.3">
      <c r="A84" s="4" t="s">
        <v>393</v>
      </c>
      <c r="B84" s="5">
        <v>45746</v>
      </c>
      <c r="C84" s="4" t="s">
        <v>67</v>
      </c>
      <c r="D84" s="4" t="s">
        <v>68</v>
      </c>
      <c r="E84" s="4" t="s">
        <v>119</v>
      </c>
      <c r="F84" s="4" t="s">
        <v>120</v>
      </c>
      <c r="G84" s="4" t="s">
        <v>21</v>
      </c>
      <c r="H84" s="19">
        <v>2</v>
      </c>
      <c r="I84" s="4">
        <v>89.99</v>
      </c>
      <c r="J84" s="4" t="s">
        <v>59</v>
      </c>
      <c r="K84" s="4" t="s">
        <v>52</v>
      </c>
      <c r="L84" s="4" t="s">
        <v>29</v>
      </c>
      <c r="M84" s="5">
        <v>44522</v>
      </c>
      <c r="N84" s="4">
        <v>179.98</v>
      </c>
    </row>
    <row r="85" spans="1:14" x14ac:dyDescent="0.3">
      <c r="A85" s="4" t="s">
        <v>312</v>
      </c>
      <c r="B85" s="5">
        <v>45641</v>
      </c>
      <c r="C85" s="4" t="s">
        <v>140</v>
      </c>
      <c r="D85" s="4" t="s">
        <v>141</v>
      </c>
      <c r="E85" s="4" t="s">
        <v>107</v>
      </c>
      <c r="F85" s="4" t="s">
        <v>108</v>
      </c>
      <c r="G85" s="4" t="s">
        <v>48</v>
      </c>
      <c r="H85" s="19">
        <v>2</v>
      </c>
      <c r="I85" s="4">
        <v>299.99</v>
      </c>
      <c r="J85" s="4" t="s">
        <v>22</v>
      </c>
      <c r="K85" s="4" t="s">
        <v>65</v>
      </c>
      <c r="L85" s="4" t="s">
        <v>29</v>
      </c>
      <c r="M85" s="5">
        <v>44724</v>
      </c>
      <c r="N85" s="4">
        <v>599.98</v>
      </c>
    </row>
    <row r="86" spans="1:14" x14ac:dyDescent="0.3">
      <c r="A86" s="4" t="s">
        <v>394</v>
      </c>
      <c r="B86" s="5">
        <v>45748</v>
      </c>
      <c r="C86" s="4" t="s">
        <v>104</v>
      </c>
      <c r="D86" s="4" t="s">
        <v>105</v>
      </c>
      <c r="E86" s="4" t="s">
        <v>82</v>
      </c>
      <c r="F86" s="4" t="s">
        <v>83</v>
      </c>
      <c r="G86" s="4" t="s">
        <v>21</v>
      </c>
      <c r="H86" s="19">
        <v>2</v>
      </c>
      <c r="I86" s="4">
        <v>699.99</v>
      </c>
      <c r="J86" s="4" t="s">
        <v>36</v>
      </c>
      <c r="K86" s="4" t="s">
        <v>42</v>
      </c>
      <c r="L86" s="4" t="s">
        <v>38</v>
      </c>
      <c r="M86" s="5">
        <v>44618</v>
      </c>
      <c r="N86" s="4">
        <v>1399.98</v>
      </c>
    </row>
    <row r="87" spans="1:14" x14ac:dyDescent="0.3">
      <c r="A87" s="4" t="s">
        <v>399</v>
      </c>
      <c r="B87" s="5">
        <v>45758</v>
      </c>
      <c r="C87" s="4" t="s">
        <v>228</v>
      </c>
      <c r="D87" s="4" t="s">
        <v>229</v>
      </c>
      <c r="E87" s="4" t="s">
        <v>119</v>
      </c>
      <c r="F87" s="4" t="s">
        <v>120</v>
      </c>
      <c r="G87" s="4" t="s">
        <v>21</v>
      </c>
      <c r="H87" s="19">
        <v>2</v>
      </c>
      <c r="I87" s="4">
        <v>89.99</v>
      </c>
      <c r="J87" s="4" t="s">
        <v>59</v>
      </c>
      <c r="K87" s="4" t="s">
        <v>65</v>
      </c>
      <c r="L87" s="4" t="s">
        <v>24</v>
      </c>
      <c r="M87" s="5">
        <v>45088</v>
      </c>
      <c r="N87" s="4">
        <v>179.98</v>
      </c>
    </row>
    <row r="88" spans="1:14" x14ac:dyDescent="0.3">
      <c r="A88" s="4" t="s">
        <v>382</v>
      </c>
      <c r="B88" s="5">
        <v>45734</v>
      </c>
      <c r="C88" s="4" t="s">
        <v>194</v>
      </c>
      <c r="D88" s="4" t="s">
        <v>195</v>
      </c>
      <c r="E88" s="4" t="s">
        <v>33</v>
      </c>
      <c r="F88" s="4" t="s">
        <v>34</v>
      </c>
      <c r="G88" s="4" t="s">
        <v>35</v>
      </c>
      <c r="H88" s="19">
        <v>2</v>
      </c>
      <c r="I88" s="4">
        <v>59.99</v>
      </c>
      <c r="J88" s="4" t="s">
        <v>28</v>
      </c>
      <c r="K88" s="4" t="s">
        <v>52</v>
      </c>
      <c r="L88" s="4" t="s">
        <v>24</v>
      </c>
      <c r="M88" s="5">
        <v>45193</v>
      </c>
      <c r="N88" s="4">
        <v>119.98</v>
      </c>
    </row>
    <row r="89" spans="1:14" x14ac:dyDescent="0.3">
      <c r="A89" s="4" t="s">
        <v>316</v>
      </c>
      <c r="B89" s="5">
        <v>45646</v>
      </c>
      <c r="C89" s="4" t="s">
        <v>44</v>
      </c>
      <c r="D89" s="4" t="s">
        <v>45</v>
      </c>
      <c r="E89" s="4" t="s">
        <v>46</v>
      </c>
      <c r="F89" s="4" t="s">
        <v>47</v>
      </c>
      <c r="G89" s="4" t="s">
        <v>48</v>
      </c>
      <c r="H89" s="19">
        <v>2</v>
      </c>
      <c r="I89" s="4">
        <v>149.99</v>
      </c>
      <c r="J89" s="4" t="s">
        <v>22</v>
      </c>
      <c r="K89" s="4" t="s">
        <v>37</v>
      </c>
      <c r="L89" s="4" t="s">
        <v>24</v>
      </c>
      <c r="M89" s="5">
        <v>45239</v>
      </c>
      <c r="N89" s="4">
        <v>299.98</v>
      </c>
    </row>
    <row r="90" spans="1:14" x14ac:dyDescent="0.3">
      <c r="A90" s="4" t="s">
        <v>319</v>
      </c>
      <c r="B90" s="5">
        <v>45649</v>
      </c>
      <c r="C90" s="4" t="s">
        <v>31</v>
      </c>
      <c r="D90" s="4" t="s">
        <v>32</v>
      </c>
      <c r="E90" s="4" t="s">
        <v>107</v>
      </c>
      <c r="F90" s="4" t="s">
        <v>108</v>
      </c>
      <c r="G90" s="4" t="s">
        <v>48</v>
      </c>
      <c r="H90" s="19">
        <v>2</v>
      </c>
      <c r="I90" s="4">
        <v>299.99</v>
      </c>
      <c r="J90" s="4" t="s">
        <v>36</v>
      </c>
      <c r="K90" s="4" t="s">
        <v>37</v>
      </c>
      <c r="L90" s="4" t="s">
        <v>24</v>
      </c>
      <c r="M90" s="5">
        <v>44721</v>
      </c>
      <c r="N90" s="4">
        <v>599.98</v>
      </c>
    </row>
    <row r="91" spans="1:14" x14ac:dyDescent="0.3">
      <c r="A91" s="4" t="s">
        <v>320</v>
      </c>
      <c r="B91" s="5">
        <v>45654</v>
      </c>
      <c r="C91" s="4" t="s">
        <v>44</v>
      </c>
      <c r="D91" s="4" t="s">
        <v>45</v>
      </c>
      <c r="E91" s="4" t="s">
        <v>107</v>
      </c>
      <c r="F91" s="4" t="s">
        <v>108</v>
      </c>
      <c r="G91" s="4" t="s">
        <v>48</v>
      </c>
      <c r="H91" s="19">
        <v>2</v>
      </c>
      <c r="I91" s="4">
        <v>299.99</v>
      </c>
      <c r="J91" s="4" t="s">
        <v>22</v>
      </c>
      <c r="K91" s="4" t="s">
        <v>52</v>
      </c>
      <c r="L91" s="4" t="s">
        <v>24</v>
      </c>
      <c r="M91" s="5">
        <v>44771</v>
      </c>
      <c r="N91" s="4">
        <v>599.98</v>
      </c>
    </row>
    <row r="92" spans="1:14" x14ac:dyDescent="0.3">
      <c r="A92" s="4" t="s">
        <v>360</v>
      </c>
      <c r="B92" s="5">
        <v>45705</v>
      </c>
      <c r="C92" s="4" t="s">
        <v>261</v>
      </c>
      <c r="D92" s="4" t="s">
        <v>262</v>
      </c>
      <c r="E92" s="4" t="s">
        <v>46</v>
      </c>
      <c r="F92" s="4" t="s">
        <v>47</v>
      </c>
      <c r="G92" s="4" t="s">
        <v>48</v>
      </c>
      <c r="H92" s="19">
        <v>2</v>
      </c>
      <c r="I92" s="4">
        <v>149.99</v>
      </c>
      <c r="J92" s="4" t="s">
        <v>22</v>
      </c>
      <c r="K92" s="4" t="s">
        <v>37</v>
      </c>
      <c r="L92" s="4" t="s">
        <v>29</v>
      </c>
      <c r="M92" s="5">
        <v>44728</v>
      </c>
      <c r="N92" s="4">
        <v>299.98</v>
      </c>
    </row>
    <row r="93" spans="1:14" x14ac:dyDescent="0.3">
      <c r="A93" s="4" t="s">
        <v>370</v>
      </c>
      <c r="B93" s="5">
        <v>45712</v>
      </c>
      <c r="C93" s="4" t="s">
        <v>140</v>
      </c>
      <c r="D93" s="4" t="s">
        <v>141</v>
      </c>
      <c r="E93" s="4" t="s">
        <v>128</v>
      </c>
      <c r="F93" s="4" t="s">
        <v>129</v>
      </c>
      <c r="G93" s="4" t="s">
        <v>48</v>
      </c>
      <c r="H93" s="19">
        <v>2</v>
      </c>
      <c r="I93" s="4">
        <v>199.99</v>
      </c>
      <c r="J93" s="4" t="s">
        <v>22</v>
      </c>
      <c r="K93" s="4" t="s">
        <v>23</v>
      </c>
      <c r="L93" s="4" t="s">
        <v>29</v>
      </c>
      <c r="M93" s="5">
        <v>44573</v>
      </c>
      <c r="N93" s="4">
        <v>399.98</v>
      </c>
    </row>
    <row r="94" spans="1:14" x14ac:dyDescent="0.3">
      <c r="A94" s="4" t="s">
        <v>372</v>
      </c>
      <c r="B94" s="5">
        <v>45715</v>
      </c>
      <c r="C94" s="4" t="s">
        <v>95</v>
      </c>
      <c r="D94" s="4" t="s">
        <v>96</v>
      </c>
      <c r="E94" s="4" t="s">
        <v>107</v>
      </c>
      <c r="F94" s="4" t="s">
        <v>108</v>
      </c>
      <c r="G94" s="4" t="s">
        <v>48</v>
      </c>
      <c r="H94" s="19">
        <v>2</v>
      </c>
      <c r="I94" s="4">
        <v>299.99</v>
      </c>
      <c r="J94" s="4" t="s">
        <v>36</v>
      </c>
      <c r="K94" s="4" t="s">
        <v>37</v>
      </c>
      <c r="L94" s="4" t="s">
        <v>24</v>
      </c>
      <c r="M94" s="5">
        <v>44576</v>
      </c>
      <c r="N94" s="4">
        <v>599.98</v>
      </c>
    </row>
    <row r="95" spans="1:14" x14ac:dyDescent="0.3">
      <c r="A95" s="4" t="s">
        <v>373</v>
      </c>
      <c r="B95" s="5">
        <v>45718</v>
      </c>
      <c r="C95" s="4" t="s">
        <v>57</v>
      </c>
      <c r="D95" s="4" t="s">
        <v>58</v>
      </c>
      <c r="E95" s="4" t="s">
        <v>46</v>
      </c>
      <c r="F95" s="4" t="s">
        <v>47</v>
      </c>
      <c r="G95" s="4" t="s">
        <v>48</v>
      </c>
      <c r="H95" s="19">
        <v>2</v>
      </c>
      <c r="I95" s="4">
        <v>149.99</v>
      </c>
      <c r="J95" s="4" t="s">
        <v>22</v>
      </c>
      <c r="K95" s="4" t="s">
        <v>23</v>
      </c>
      <c r="L95" s="4" t="s">
        <v>24</v>
      </c>
      <c r="M95" s="5">
        <v>45068</v>
      </c>
      <c r="N95" s="4">
        <v>299.98</v>
      </c>
    </row>
    <row r="96" spans="1:14" x14ac:dyDescent="0.3">
      <c r="A96" s="4" t="s">
        <v>378</v>
      </c>
      <c r="B96" s="5">
        <v>45724</v>
      </c>
      <c r="C96" s="4" t="s">
        <v>228</v>
      </c>
      <c r="D96" s="4" t="s">
        <v>229</v>
      </c>
      <c r="E96" s="4" t="s">
        <v>46</v>
      </c>
      <c r="F96" s="4" t="s">
        <v>47</v>
      </c>
      <c r="G96" s="4" t="s">
        <v>48</v>
      </c>
      <c r="H96" s="19">
        <v>2</v>
      </c>
      <c r="I96" s="4">
        <v>149.99</v>
      </c>
      <c r="J96" s="4" t="s">
        <v>36</v>
      </c>
      <c r="K96" s="4" t="s">
        <v>23</v>
      </c>
      <c r="L96" s="4" t="s">
        <v>29</v>
      </c>
      <c r="M96" s="5">
        <v>44632</v>
      </c>
      <c r="N96" s="4">
        <v>299.98</v>
      </c>
    </row>
    <row r="97" spans="1:14" x14ac:dyDescent="0.3">
      <c r="A97" s="4" t="s">
        <v>383</v>
      </c>
      <c r="B97" s="5">
        <v>45737</v>
      </c>
      <c r="C97" s="4" t="s">
        <v>134</v>
      </c>
      <c r="D97" s="4" t="s">
        <v>135</v>
      </c>
      <c r="E97" s="4" t="s">
        <v>46</v>
      </c>
      <c r="F97" s="4" t="s">
        <v>47</v>
      </c>
      <c r="G97" s="4" t="s">
        <v>48</v>
      </c>
      <c r="H97" s="19">
        <v>2</v>
      </c>
      <c r="I97" s="4">
        <v>149.99</v>
      </c>
      <c r="J97" s="4" t="s">
        <v>22</v>
      </c>
      <c r="K97" s="4" t="s">
        <v>52</v>
      </c>
      <c r="L97" s="4" t="s">
        <v>29</v>
      </c>
      <c r="M97" s="5">
        <v>45233</v>
      </c>
      <c r="N97" s="4">
        <v>299.98</v>
      </c>
    </row>
    <row r="98" spans="1:14" x14ac:dyDescent="0.3">
      <c r="A98" s="4" t="s">
        <v>30</v>
      </c>
      <c r="B98" s="5">
        <v>45399</v>
      </c>
      <c r="C98" s="4" t="s">
        <v>31</v>
      </c>
      <c r="D98" s="4" t="s">
        <v>32</v>
      </c>
      <c r="E98" s="4" t="s">
        <v>33</v>
      </c>
      <c r="F98" s="4" t="s">
        <v>34</v>
      </c>
      <c r="G98" s="4" t="s">
        <v>35</v>
      </c>
      <c r="H98" s="19">
        <v>3</v>
      </c>
      <c r="I98" s="4">
        <v>59.99</v>
      </c>
      <c r="J98" s="4" t="s">
        <v>36</v>
      </c>
      <c r="K98" s="4" t="s">
        <v>37</v>
      </c>
      <c r="L98" s="4" t="s">
        <v>38</v>
      </c>
      <c r="M98" s="5">
        <v>45262</v>
      </c>
      <c r="N98" s="4">
        <v>179.97</v>
      </c>
    </row>
    <row r="99" spans="1:14" x14ac:dyDescent="0.3">
      <c r="A99" s="4" t="s">
        <v>39</v>
      </c>
      <c r="B99" s="5">
        <v>45400</v>
      </c>
      <c r="C99" s="4" t="s">
        <v>40</v>
      </c>
      <c r="D99" s="4" t="s">
        <v>41</v>
      </c>
      <c r="E99" s="4" t="s">
        <v>33</v>
      </c>
      <c r="F99" s="4" t="s">
        <v>34</v>
      </c>
      <c r="G99" s="4" t="s">
        <v>35</v>
      </c>
      <c r="H99" s="19">
        <v>3</v>
      </c>
      <c r="I99" s="4">
        <v>59.99</v>
      </c>
      <c r="J99" s="4" t="s">
        <v>22</v>
      </c>
      <c r="K99" s="4" t="s">
        <v>42</v>
      </c>
      <c r="L99" s="4" t="s">
        <v>29</v>
      </c>
      <c r="M99" s="5">
        <v>45114</v>
      </c>
      <c r="N99" s="4">
        <v>179.97</v>
      </c>
    </row>
    <row r="100" spans="1:14" x14ac:dyDescent="0.3">
      <c r="A100" s="4" t="s">
        <v>56</v>
      </c>
      <c r="B100" s="5">
        <v>45403</v>
      </c>
      <c r="C100" s="4" t="s">
        <v>57</v>
      </c>
      <c r="D100" s="4" t="s">
        <v>58</v>
      </c>
      <c r="E100" s="4" t="s">
        <v>33</v>
      </c>
      <c r="F100" s="4" t="s">
        <v>34</v>
      </c>
      <c r="G100" s="4" t="s">
        <v>35</v>
      </c>
      <c r="H100" s="19">
        <v>3</v>
      </c>
      <c r="I100" s="4">
        <v>59.99</v>
      </c>
      <c r="J100" s="4" t="s">
        <v>59</v>
      </c>
      <c r="K100" s="4" t="s">
        <v>37</v>
      </c>
      <c r="L100" s="4" t="s">
        <v>24</v>
      </c>
      <c r="M100" s="5">
        <v>45007</v>
      </c>
      <c r="N100" s="4">
        <v>179.97</v>
      </c>
    </row>
    <row r="101" spans="1:14" x14ac:dyDescent="0.3">
      <c r="A101" s="4" t="s">
        <v>66</v>
      </c>
      <c r="B101" s="5">
        <v>45408</v>
      </c>
      <c r="C101" s="4" t="s">
        <v>67</v>
      </c>
      <c r="D101" s="4" t="s">
        <v>68</v>
      </c>
      <c r="E101" s="4" t="s">
        <v>33</v>
      </c>
      <c r="F101" s="4" t="s">
        <v>34</v>
      </c>
      <c r="G101" s="4" t="s">
        <v>35</v>
      </c>
      <c r="H101" s="19">
        <v>3</v>
      </c>
      <c r="I101" s="4">
        <v>59.99</v>
      </c>
      <c r="J101" s="4" t="s">
        <v>22</v>
      </c>
      <c r="K101" s="4" t="s">
        <v>52</v>
      </c>
      <c r="L101" s="4" t="s">
        <v>29</v>
      </c>
      <c r="M101" s="5">
        <v>45207</v>
      </c>
      <c r="N101" s="4">
        <v>179.97</v>
      </c>
    </row>
    <row r="102" spans="1:14" x14ac:dyDescent="0.3">
      <c r="A102" s="4" t="s">
        <v>76</v>
      </c>
      <c r="B102" s="5">
        <v>45409</v>
      </c>
      <c r="C102" s="4" t="s">
        <v>77</v>
      </c>
      <c r="D102" s="4" t="s">
        <v>78</v>
      </c>
      <c r="E102" s="4" t="s">
        <v>33</v>
      </c>
      <c r="F102" s="4" t="s">
        <v>34</v>
      </c>
      <c r="G102" s="4" t="s">
        <v>35</v>
      </c>
      <c r="H102" s="19">
        <v>3</v>
      </c>
      <c r="I102" s="4">
        <v>59.99</v>
      </c>
      <c r="J102" s="4" t="s">
        <v>28</v>
      </c>
      <c r="K102" s="4" t="s">
        <v>42</v>
      </c>
      <c r="L102" s="4" t="s">
        <v>38</v>
      </c>
      <c r="M102" s="5">
        <v>45351</v>
      </c>
      <c r="N102" s="4">
        <v>179.97</v>
      </c>
    </row>
    <row r="103" spans="1:14" x14ac:dyDescent="0.3">
      <c r="A103" s="4" t="s">
        <v>113</v>
      </c>
      <c r="B103" s="5">
        <v>45424</v>
      </c>
      <c r="C103" s="4" t="s">
        <v>114</v>
      </c>
      <c r="D103" s="4" t="s">
        <v>115</v>
      </c>
      <c r="E103" s="4" t="s">
        <v>116</v>
      </c>
      <c r="F103" s="4" t="s">
        <v>117</v>
      </c>
      <c r="G103" s="4" t="s">
        <v>35</v>
      </c>
      <c r="H103" s="19">
        <v>3</v>
      </c>
      <c r="I103" s="4">
        <v>79.989999999999995</v>
      </c>
      <c r="J103" s="4" t="s">
        <v>36</v>
      </c>
      <c r="K103" s="4" t="s">
        <v>65</v>
      </c>
      <c r="L103" s="4" t="s">
        <v>29</v>
      </c>
      <c r="M103" s="5">
        <v>45012</v>
      </c>
      <c r="N103" s="4">
        <v>239.97</v>
      </c>
    </row>
    <row r="104" spans="1:14" x14ac:dyDescent="0.3">
      <c r="A104" s="4" t="s">
        <v>73</v>
      </c>
      <c r="B104" s="5">
        <v>45408</v>
      </c>
      <c r="C104" s="4" t="s">
        <v>74</v>
      </c>
      <c r="D104" s="4" t="s">
        <v>75</v>
      </c>
      <c r="E104" s="4" t="s">
        <v>46</v>
      </c>
      <c r="F104" s="4" t="s">
        <v>47</v>
      </c>
      <c r="G104" s="4" t="s">
        <v>48</v>
      </c>
      <c r="H104" s="19">
        <v>3</v>
      </c>
      <c r="I104" s="4">
        <v>149.99</v>
      </c>
      <c r="J104" s="4" t="s">
        <v>22</v>
      </c>
      <c r="K104" s="4" t="s">
        <v>42</v>
      </c>
      <c r="L104" s="4" t="s">
        <v>29</v>
      </c>
      <c r="M104" s="5">
        <v>44806</v>
      </c>
      <c r="N104" s="4">
        <v>449.97</v>
      </c>
    </row>
    <row r="105" spans="1:14" x14ac:dyDescent="0.3">
      <c r="A105" s="4" t="s">
        <v>133</v>
      </c>
      <c r="B105" s="5">
        <v>45430</v>
      </c>
      <c r="C105" s="4" t="s">
        <v>134</v>
      </c>
      <c r="D105" s="4" t="s">
        <v>135</v>
      </c>
      <c r="E105" s="4" t="s">
        <v>46</v>
      </c>
      <c r="F105" s="4" t="s">
        <v>47</v>
      </c>
      <c r="G105" s="4" t="s">
        <v>48</v>
      </c>
      <c r="H105" s="19">
        <v>3</v>
      </c>
      <c r="I105" s="4">
        <v>149.99</v>
      </c>
      <c r="J105" s="4" t="s">
        <v>28</v>
      </c>
      <c r="K105" s="4" t="s">
        <v>52</v>
      </c>
      <c r="L105" s="4" t="s">
        <v>29</v>
      </c>
      <c r="M105" s="5">
        <v>45068</v>
      </c>
      <c r="N105" s="4">
        <v>449.97</v>
      </c>
    </row>
    <row r="106" spans="1:14" x14ac:dyDescent="0.3">
      <c r="A106" s="4" t="s">
        <v>137</v>
      </c>
      <c r="B106" s="5">
        <v>45434</v>
      </c>
      <c r="C106" s="4" t="s">
        <v>101</v>
      </c>
      <c r="D106" s="4" t="s">
        <v>102</v>
      </c>
      <c r="E106" s="4" t="s">
        <v>107</v>
      </c>
      <c r="F106" s="4" t="s">
        <v>108</v>
      </c>
      <c r="G106" s="4" t="s">
        <v>48</v>
      </c>
      <c r="H106" s="19">
        <v>3</v>
      </c>
      <c r="I106" s="4">
        <v>299.99</v>
      </c>
      <c r="J106" s="4" t="s">
        <v>28</v>
      </c>
      <c r="K106" s="4" t="s">
        <v>65</v>
      </c>
      <c r="L106" s="4" t="s">
        <v>24</v>
      </c>
      <c r="M106" s="5">
        <v>44824</v>
      </c>
      <c r="N106" s="4">
        <v>899.97</v>
      </c>
    </row>
    <row r="107" spans="1:14" x14ac:dyDescent="0.3">
      <c r="A107" s="4" t="s">
        <v>138</v>
      </c>
      <c r="B107" s="5">
        <v>45435</v>
      </c>
      <c r="C107" s="4" t="s">
        <v>131</v>
      </c>
      <c r="D107" s="4" t="s">
        <v>132</v>
      </c>
      <c r="E107" s="4" t="s">
        <v>116</v>
      </c>
      <c r="F107" s="4" t="s">
        <v>117</v>
      </c>
      <c r="G107" s="4" t="s">
        <v>35</v>
      </c>
      <c r="H107" s="19">
        <v>3</v>
      </c>
      <c r="I107" s="4">
        <v>79.989999999999995</v>
      </c>
      <c r="J107" s="4" t="s">
        <v>22</v>
      </c>
      <c r="K107" s="4" t="s">
        <v>37</v>
      </c>
      <c r="L107" s="4" t="s">
        <v>24</v>
      </c>
      <c r="M107" s="5">
        <v>45046</v>
      </c>
      <c r="N107" s="4">
        <v>239.97</v>
      </c>
    </row>
    <row r="108" spans="1:14" x14ac:dyDescent="0.3">
      <c r="A108" s="4" t="s">
        <v>16</v>
      </c>
      <c r="B108" s="5">
        <v>45393</v>
      </c>
      <c r="C108" s="4" t="s">
        <v>17</v>
      </c>
      <c r="D108" s="4" t="s">
        <v>18</v>
      </c>
      <c r="E108" s="4" t="s">
        <v>19</v>
      </c>
      <c r="F108" s="4" t="s">
        <v>20</v>
      </c>
      <c r="G108" s="4" t="s">
        <v>21</v>
      </c>
      <c r="H108" s="19">
        <v>3</v>
      </c>
      <c r="I108" s="4">
        <v>249.99</v>
      </c>
      <c r="J108" s="4" t="s">
        <v>22</v>
      </c>
      <c r="K108" s="4" t="s">
        <v>23</v>
      </c>
      <c r="L108" s="4" t="s">
        <v>24</v>
      </c>
      <c r="M108" s="5">
        <v>44425</v>
      </c>
      <c r="N108" s="4">
        <v>749.97</v>
      </c>
    </row>
    <row r="109" spans="1:14" x14ac:dyDescent="0.3">
      <c r="A109" s="4" t="s">
        <v>25</v>
      </c>
      <c r="B109" s="5">
        <v>45396</v>
      </c>
      <c r="C109" s="4" t="s">
        <v>26</v>
      </c>
      <c r="D109" s="4" t="s">
        <v>27</v>
      </c>
      <c r="E109" s="4" t="s">
        <v>19</v>
      </c>
      <c r="F109" s="4" t="s">
        <v>20</v>
      </c>
      <c r="G109" s="4" t="s">
        <v>21</v>
      </c>
      <c r="H109" s="19">
        <v>3</v>
      </c>
      <c r="I109" s="4">
        <v>249.99</v>
      </c>
      <c r="J109" s="4" t="s">
        <v>28</v>
      </c>
      <c r="K109" s="4" t="s">
        <v>23</v>
      </c>
      <c r="L109" s="4" t="s">
        <v>29</v>
      </c>
      <c r="M109" s="5">
        <v>44575</v>
      </c>
      <c r="N109" s="4">
        <v>749.97</v>
      </c>
    </row>
    <row r="110" spans="1:14" x14ac:dyDescent="0.3">
      <c r="A110" s="4" t="s">
        <v>60</v>
      </c>
      <c r="B110" s="5">
        <v>45405</v>
      </c>
      <c r="C110" s="4" t="s">
        <v>61</v>
      </c>
      <c r="D110" s="4" t="s">
        <v>62</v>
      </c>
      <c r="E110" s="4" t="s">
        <v>63</v>
      </c>
      <c r="F110" s="4" t="s">
        <v>64</v>
      </c>
      <c r="G110" s="4" t="s">
        <v>21</v>
      </c>
      <c r="H110" s="19">
        <v>3</v>
      </c>
      <c r="I110" s="4">
        <v>899.99</v>
      </c>
      <c r="J110" s="4" t="s">
        <v>36</v>
      </c>
      <c r="K110" s="4" t="s">
        <v>65</v>
      </c>
      <c r="L110" s="4" t="s">
        <v>38</v>
      </c>
      <c r="M110" s="5">
        <v>45299</v>
      </c>
      <c r="N110" s="4">
        <v>2699.97</v>
      </c>
    </row>
    <row r="111" spans="1:14" x14ac:dyDescent="0.3">
      <c r="A111" s="4" t="s">
        <v>79</v>
      </c>
      <c r="B111" s="5">
        <v>45409</v>
      </c>
      <c r="C111" s="4" t="s">
        <v>80</v>
      </c>
      <c r="D111" s="4" t="s">
        <v>81</v>
      </c>
      <c r="E111" s="4" t="s">
        <v>82</v>
      </c>
      <c r="F111" s="4" t="s">
        <v>83</v>
      </c>
      <c r="G111" s="4" t="s">
        <v>21</v>
      </c>
      <c r="H111" s="19">
        <v>3</v>
      </c>
      <c r="I111" s="4">
        <v>699.99</v>
      </c>
      <c r="J111" s="4" t="s">
        <v>28</v>
      </c>
      <c r="K111" s="4" t="s">
        <v>52</v>
      </c>
      <c r="L111" s="4" t="s">
        <v>24</v>
      </c>
      <c r="M111" s="5">
        <v>44577</v>
      </c>
      <c r="N111" s="4">
        <v>2099.9699999999998</v>
      </c>
    </row>
    <row r="112" spans="1:14" x14ac:dyDescent="0.3">
      <c r="A112" s="4" t="s">
        <v>94</v>
      </c>
      <c r="B112" s="5">
        <v>45410</v>
      </c>
      <c r="C112" s="4" t="s">
        <v>95</v>
      </c>
      <c r="D112" s="4" t="s">
        <v>96</v>
      </c>
      <c r="E112" s="4" t="s">
        <v>19</v>
      </c>
      <c r="F112" s="4" t="s">
        <v>20</v>
      </c>
      <c r="G112" s="4" t="s">
        <v>21</v>
      </c>
      <c r="H112" s="19">
        <v>3</v>
      </c>
      <c r="I112" s="4">
        <v>249.99</v>
      </c>
      <c r="J112" s="4" t="s">
        <v>28</v>
      </c>
      <c r="K112" s="4" t="s">
        <v>42</v>
      </c>
      <c r="L112" s="4" t="s">
        <v>29</v>
      </c>
      <c r="M112" s="5">
        <v>45224</v>
      </c>
      <c r="N112" s="4">
        <v>749.97</v>
      </c>
    </row>
    <row r="113" spans="1:14" x14ac:dyDescent="0.3">
      <c r="A113" s="4" t="s">
        <v>145</v>
      </c>
      <c r="B113" s="5">
        <v>45441</v>
      </c>
      <c r="C113" s="4" t="s">
        <v>146</v>
      </c>
      <c r="D113" s="4" t="s">
        <v>147</v>
      </c>
      <c r="E113" s="4" t="s">
        <v>119</v>
      </c>
      <c r="F113" s="4" t="s">
        <v>120</v>
      </c>
      <c r="G113" s="4" t="s">
        <v>21</v>
      </c>
      <c r="H113" s="19">
        <v>3</v>
      </c>
      <c r="I113" s="4">
        <v>89.99</v>
      </c>
      <c r="J113" s="4" t="s">
        <v>36</v>
      </c>
      <c r="K113" s="4" t="s">
        <v>23</v>
      </c>
      <c r="L113" s="4" t="s">
        <v>29</v>
      </c>
      <c r="M113" s="5">
        <v>45120</v>
      </c>
      <c r="N113" s="4">
        <v>269.97000000000003</v>
      </c>
    </row>
    <row r="114" spans="1:14" x14ac:dyDescent="0.3">
      <c r="A114" s="4" t="s">
        <v>197</v>
      </c>
      <c r="B114" s="5">
        <v>45490</v>
      </c>
      <c r="C114" s="4" t="s">
        <v>198</v>
      </c>
      <c r="D114" s="4" t="s">
        <v>199</v>
      </c>
      <c r="E114" s="4" t="s">
        <v>33</v>
      </c>
      <c r="F114" s="4" t="s">
        <v>34</v>
      </c>
      <c r="G114" s="4" t="s">
        <v>35</v>
      </c>
      <c r="H114" s="19">
        <v>3</v>
      </c>
      <c r="I114" s="4">
        <v>59.99</v>
      </c>
      <c r="J114" s="4" t="s">
        <v>28</v>
      </c>
      <c r="K114" s="4" t="s">
        <v>52</v>
      </c>
      <c r="L114" s="4" t="s">
        <v>24</v>
      </c>
      <c r="M114" s="5">
        <v>45130</v>
      </c>
      <c r="N114" s="4">
        <v>179.97</v>
      </c>
    </row>
    <row r="115" spans="1:14" x14ac:dyDescent="0.3">
      <c r="A115" s="4" t="s">
        <v>227</v>
      </c>
      <c r="B115" s="5">
        <v>45528</v>
      </c>
      <c r="C115" s="4" t="s">
        <v>228</v>
      </c>
      <c r="D115" s="4" t="s">
        <v>229</v>
      </c>
      <c r="E115" s="4" t="s">
        <v>116</v>
      </c>
      <c r="F115" s="4" t="s">
        <v>117</v>
      </c>
      <c r="G115" s="4" t="s">
        <v>35</v>
      </c>
      <c r="H115" s="19">
        <v>3</v>
      </c>
      <c r="I115" s="4">
        <v>79.989999999999995</v>
      </c>
      <c r="J115" s="4" t="s">
        <v>22</v>
      </c>
      <c r="K115" s="4" t="s">
        <v>23</v>
      </c>
      <c r="L115" s="4" t="s">
        <v>29</v>
      </c>
      <c r="M115" s="5">
        <v>44779</v>
      </c>
      <c r="N115" s="4">
        <v>239.97</v>
      </c>
    </row>
    <row r="116" spans="1:14" x14ac:dyDescent="0.3">
      <c r="A116" s="4" t="s">
        <v>241</v>
      </c>
      <c r="B116" s="5">
        <v>45541</v>
      </c>
      <c r="C116" s="4" t="s">
        <v>140</v>
      </c>
      <c r="D116" s="4" t="s">
        <v>141</v>
      </c>
      <c r="E116" s="4" t="s">
        <v>33</v>
      </c>
      <c r="F116" s="4" t="s">
        <v>34</v>
      </c>
      <c r="G116" s="4" t="s">
        <v>35</v>
      </c>
      <c r="H116" s="19">
        <v>3</v>
      </c>
      <c r="I116" s="4">
        <v>59.99</v>
      </c>
      <c r="J116" s="4" t="s">
        <v>28</v>
      </c>
      <c r="K116" s="4" t="s">
        <v>23</v>
      </c>
      <c r="L116" s="4" t="s">
        <v>29</v>
      </c>
      <c r="M116" s="5">
        <v>44717</v>
      </c>
      <c r="N116" s="4">
        <v>179.97</v>
      </c>
    </row>
    <row r="117" spans="1:14" x14ac:dyDescent="0.3">
      <c r="A117" s="4" t="s">
        <v>242</v>
      </c>
      <c r="B117" s="5">
        <v>45544</v>
      </c>
      <c r="C117" s="4" t="s">
        <v>134</v>
      </c>
      <c r="D117" s="4" t="s">
        <v>135</v>
      </c>
      <c r="E117" s="4" t="s">
        <v>33</v>
      </c>
      <c r="F117" s="4" t="s">
        <v>34</v>
      </c>
      <c r="G117" s="4" t="s">
        <v>35</v>
      </c>
      <c r="H117" s="19">
        <v>3</v>
      </c>
      <c r="I117" s="4">
        <v>59.99</v>
      </c>
      <c r="J117" s="4" t="s">
        <v>36</v>
      </c>
      <c r="K117" s="4" t="s">
        <v>65</v>
      </c>
      <c r="L117" s="4" t="s">
        <v>38</v>
      </c>
      <c r="M117" s="5">
        <v>44748</v>
      </c>
      <c r="N117" s="4">
        <v>179.97</v>
      </c>
    </row>
    <row r="118" spans="1:14" x14ac:dyDescent="0.3">
      <c r="A118" s="4" t="s">
        <v>139</v>
      </c>
      <c r="B118" s="5">
        <v>45438</v>
      </c>
      <c r="C118" s="4" t="s">
        <v>140</v>
      </c>
      <c r="D118" s="4" t="s">
        <v>141</v>
      </c>
      <c r="E118" s="4" t="s">
        <v>128</v>
      </c>
      <c r="F118" s="4" t="s">
        <v>129</v>
      </c>
      <c r="G118" s="4" t="s">
        <v>48</v>
      </c>
      <c r="H118" s="19">
        <v>3</v>
      </c>
      <c r="I118" s="4">
        <v>199.99</v>
      </c>
      <c r="J118" s="4" t="s">
        <v>28</v>
      </c>
      <c r="K118" s="4" t="s">
        <v>42</v>
      </c>
      <c r="L118" s="4" t="s">
        <v>29</v>
      </c>
      <c r="M118" s="5">
        <v>45292</v>
      </c>
      <c r="N118" s="4">
        <v>599.97</v>
      </c>
    </row>
    <row r="119" spans="1:14" x14ac:dyDescent="0.3">
      <c r="A119" s="4" t="s">
        <v>177</v>
      </c>
      <c r="B119" s="5">
        <v>45471</v>
      </c>
      <c r="C119" s="4" t="s">
        <v>40</v>
      </c>
      <c r="D119" s="4" t="s">
        <v>41</v>
      </c>
      <c r="E119" s="4" t="s">
        <v>82</v>
      </c>
      <c r="F119" s="4" t="s">
        <v>83</v>
      </c>
      <c r="G119" s="4" t="s">
        <v>21</v>
      </c>
      <c r="H119" s="19">
        <v>3</v>
      </c>
      <c r="I119" s="4">
        <v>699.99</v>
      </c>
      <c r="J119" s="4" t="s">
        <v>28</v>
      </c>
      <c r="K119" s="4" t="s">
        <v>65</v>
      </c>
      <c r="L119" s="4" t="s">
        <v>29</v>
      </c>
      <c r="M119" s="5">
        <v>45102</v>
      </c>
      <c r="N119" s="4">
        <v>2099.9699999999998</v>
      </c>
    </row>
    <row r="120" spans="1:14" x14ac:dyDescent="0.3">
      <c r="A120" s="4" t="s">
        <v>220</v>
      </c>
      <c r="B120" s="5">
        <v>45517</v>
      </c>
      <c r="C120" s="4" t="s">
        <v>67</v>
      </c>
      <c r="D120" s="4" t="s">
        <v>68</v>
      </c>
      <c r="E120" s="4" t="s">
        <v>19</v>
      </c>
      <c r="F120" s="4" t="s">
        <v>20</v>
      </c>
      <c r="G120" s="4" t="s">
        <v>21</v>
      </c>
      <c r="H120" s="19">
        <v>3</v>
      </c>
      <c r="I120" s="4">
        <v>249.99</v>
      </c>
      <c r="J120" s="4" t="s">
        <v>36</v>
      </c>
      <c r="K120" s="4" t="s">
        <v>42</v>
      </c>
      <c r="L120" s="4" t="s">
        <v>29</v>
      </c>
      <c r="M120" s="5">
        <v>44465</v>
      </c>
      <c r="N120" s="4">
        <v>749.97</v>
      </c>
    </row>
    <row r="121" spans="1:14" x14ac:dyDescent="0.3">
      <c r="A121" s="4" t="s">
        <v>225</v>
      </c>
      <c r="B121" s="5">
        <v>45523</v>
      </c>
      <c r="C121" s="4" t="s">
        <v>110</v>
      </c>
      <c r="D121" s="4" t="s">
        <v>111</v>
      </c>
      <c r="E121" s="4" t="s">
        <v>54</v>
      </c>
      <c r="F121" s="4" t="s">
        <v>55</v>
      </c>
      <c r="G121" s="4" t="s">
        <v>21</v>
      </c>
      <c r="H121" s="19">
        <v>3</v>
      </c>
      <c r="I121" s="4">
        <v>149.99</v>
      </c>
      <c r="J121" s="4" t="s">
        <v>36</v>
      </c>
      <c r="K121" s="4" t="s">
        <v>65</v>
      </c>
      <c r="L121" s="4" t="s">
        <v>24</v>
      </c>
      <c r="M121" s="5">
        <v>44574</v>
      </c>
      <c r="N121" s="4">
        <v>449.97</v>
      </c>
    </row>
    <row r="122" spans="1:14" x14ac:dyDescent="0.3">
      <c r="A122" s="4" t="s">
        <v>200</v>
      </c>
      <c r="B122" s="5">
        <v>45490</v>
      </c>
      <c r="C122" s="4" t="s">
        <v>74</v>
      </c>
      <c r="D122" s="4" t="s">
        <v>75</v>
      </c>
      <c r="E122" s="4" t="s">
        <v>46</v>
      </c>
      <c r="F122" s="4" t="s">
        <v>47</v>
      </c>
      <c r="G122" s="4" t="s">
        <v>48</v>
      </c>
      <c r="H122" s="19">
        <v>3</v>
      </c>
      <c r="I122" s="4">
        <v>149.99</v>
      </c>
      <c r="J122" s="4" t="s">
        <v>22</v>
      </c>
      <c r="K122" s="4" t="s">
        <v>23</v>
      </c>
      <c r="L122" s="4" t="s">
        <v>29</v>
      </c>
      <c r="M122" s="5">
        <v>45199</v>
      </c>
      <c r="N122" s="4">
        <v>449.97</v>
      </c>
    </row>
    <row r="123" spans="1:14" x14ac:dyDescent="0.3">
      <c r="A123" s="4" t="s">
        <v>232</v>
      </c>
      <c r="B123" s="5">
        <v>45532</v>
      </c>
      <c r="C123" s="4" t="s">
        <v>233</v>
      </c>
      <c r="D123" s="4" t="s">
        <v>234</v>
      </c>
      <c r="E123" s="4" t="s">
        <v>54</v>
      </c>
      <c r="F123" s="4" t="s">
        <v>55</v>
      </c>
      <c r="G123" s="4" t="s">
        <v>21</v>
      </c>
      <c r="H123" s="19">
        <v>3</v>
      </c>
      <c r="I123" s="4">
        <v>149.99</v>
      </c>
      <c r="J123" s="4" t="s">
        <v>22</v>
      </c>
      <c r="K123" s="4" t="s">
        <v>52</v>
      </c>
      <c r="L123" s="4" t="s">
        <v>29</v>
      </c>
      <c r="M123" s="5">
        <v>45212</v>
      </c>
      <c r="N123" s="4">
        <v>449.97</v>
      </c>
    </row>
    <row r="124" spans="1:14" x14ac:dyDescent="0.3">
      <c r="A124" s="4" t="s">
        <v>257</v>
      </c>
      <c r="B124" s="5">
        <v>45559</v>
      </c>
      <c r="C124" s="4" t="s">
        <v>236</v>
      </c>
      <c r="D124" s="4" t="s">
        <v>237</v>
      </c>
      <c r="E124" s="4" t="s">
        <v>63</v>
      </c>
      <c r="F124" s="4" t="s">
        <v>64</v>
      </c>
      <c r="G124" s="4" t="s">
        <v>21</v>
      </c>
      <c r="H124" s="19">
        <v>3</v>
      </c>
      <c r="I124" s="4">
        <v>899.99</v>
      </c>
      <c r="J124" s="4" t="s">
        <v>28</v>
      </c>
      <c r="K124" s="4" t="s">
        <v>42</v>
      </c>
      <c r="L124" s="4" t="s">
        <v>38</v>
      </c>
      <c r="M124" s="5">
        <v>45157</v>
      </c>
      <c r="N124" s="4">
        <v>2699.97</v>
      </c>
    </row>
    <row r="125" spans="1:14" x14ac:dyDescent="0.3">
      <c r="A125" s="4" t="s">
        <v>269</v>
      </c>
      <c r="B125" s="5">
        <v>45579</v>
      </c>
      <c r="C125" s="4" t="s">
        <v>85</v>
      </c>
      <c r="D125" s="4" t="s">
        <v>86</v>
      </c>
      <c r="E125" s="4" t="s">
        <v>63</v>
      </c>
      <c r="F125" s="4" t="s">
        <v>64</v>
      </c>
      <c r="G125" s="4" t="s">
        <v>21</v>
      </c>
      <c r="H125" s="19">
        <v>3</v>
      </c>
      <c r="I125" s="4">
        <v>899.99</v>
      </c>
      <c r="J125" s="4" t="s">
        <v>36</v>
      </c>
      <c r="K125" s="4" t="s">
        <v>52</v>
      </c>
      <c r="L125" s="4" t="s">
        <v>24</v>
      </c>
      <c r="M125" s="5">
        <v>45215</v>
      </c>
      <c r="N125" s="4">
        <v>2699.97</v>
      </c>
    </row>
    <row r="126" spans="1:14" x14ac:dyDescent="0.3">
      <c r="A126" s="4" t="s">
        <v>274</v>
      </c>
      <c r="B126" s="5">
        <v>45586</v>
      </c>
      <c r="C126" s="4" t="s">
        <v>228</v>
      </c>
      <c r="D126" s="4" t="s">
        <v>229</v>
      </c>
      <c r="E126" s="4" t="s">
        <v>119</v>
      </c>
      <c r="F126" s="4" t="s">
        <v>120</v>
      </c>
      <c r="G126" s="4" t="s">
        <v>21</v>
      </c>
      <c r="H126" s="19">
        <v>3</v>
      </c>
      <c r="I126" s="4">
        <v>89.99</v>
      </c>
      <c r="J126" s="4" t="s">
        <v>36</v>
      </c>
      <c r="K126" s="4" t="s">
        <v>23</v>
      </c>
      <c r="L126" s="4" t="s">
        <v>24</v>
      </c>
      <c r="M126" s="5">
        <v>44551</v>
      </c>
      <c r="N126" s="4">
        <v>269.97000000000003</v>
      </c>
    </row>
    <row r="127" spans="1:14" x14ac:dyDescent="0.3">
      <c r="A127" s="4" t="s">
        <v>201</v>
      </c>
      <c r="B127" s="5">
        <v>45491</v>
      </c>
      <c r="C127" s="4" t="s">
        <v>67</v>
      </c>
      <c r="D127" s="4" t="s">
        <v>68</v>
      </c>
      <c r="E127" s="4" t="s">
        <v>128</v>
      </c>
      <c r="F127" s="4" t="s">
        <v>129</v>
      </c>
      <c r="G127" s="4" t="s">
        <v>48</v>
      </c>
      <c r="H127" s="19">
        <v>3</v>
      </c>
      <c r="I127" s="4">
        <v>199.99</v>
      </c>
      <c r="J127" s="4" t="s">
        <v>22</v>
      </c>
      <c r="K127" s="4" t="s">
        <v>42</v>
      </c>
      <c r="L127" s="4" t="s">
        <v>29</v>
      </c>
      <c r="M127" s="5">
        <v>45254</v>
      </c>
      <c r="N127" s="4">
        <v>599.97</v>
      </c>
    </row>
    <row r="128" spans="1:14" x14ac:dyDescent="0.3">
      <c r="A128" s="4" t="s">
        <v>209</v>
      </c>
      <c r="B128" s="5">
        <v>45501</v>
      </c>
      <c r="C128" s="4" t="s">
        <v>149</v>
      </c>
      <c r="D128" s="4" t="s">
        <v>150</v>
      </c>
      <c r="E128" s="4" t="s">
        <v>107</v>
      </c>
      <c r="F128" s="4" t="s">
        <v>108</v>
      </c>
      <c r="G128" s="4" t="s">
        <v>48</v>
      </c>
      <c r="H128" s="19">
        <v>3</v>
      </c>
      <c r="I128" s="4">
        <v>299.99</v>
      </c>
      <c r="J128" s="4" t="s">
        <v>22</v>
      </c>
      <c r="K128" s="4" t="s">
        <v>23</v>
      </c>
      <c r="L128" s="4" t="s">
        <v>24</v>
      </c>
      <c r="M128" s="5">
        <v>44732</v>
      </c>
      <c r="N128" s="4">
        <v>899.97</v>
      </c>
    </row>
    <row r="129" spans="1:14" x14ac:dyDescent="0.3">
      <c r="A129" s="4" t="s">
        <v>245</v>
      </c>
      <c r="B129" s="5">
        <v>45547</v>
      </c>
      <c r="C129" s="4" t="s">
        <v>50</v>
      </c>
      <c r="D129" s="4" t="s">
        <v>51</v>
      </c>
      <c r="E129" s="4" t="s">
        <v>107</v>
      </c>
      <c r="F129" s="4" t="s">
        <v>108</v>
      </c>
      <c r="G129" s="4" t="s">
        <v>48</v>
      </c>
      <c r="H129" s="19">
        <v>3</v>
      </c>
      <c r="I129" s="4">
        <v>299.99</v>
      </c>
      <c r="J129" s="4" t="s">
        <v>28</v>
      </c>
      <c r="K129" s="4" t="s">
        <v>23</v>
      </c>
      <c r="L129" s="4" t="s">
        <v>29</v>
      </c>
      <c r="M129" s="5">
        <v>44494</v>
      </c>
      <c r="N129" s="4">
        <v>899.97</v>
      </c>
    </row>
    <row r="130" spans="1:14" x14ac:dyDescent="0.3">
      <c r="A130" s="4" t="s">
        <v>258</v>
      </c>
      <c r="B130" s="5">
        <v>45560</v>
      </c>
      <c r="C130" s="4" t="s">
        <v>114</v>
      </c>
      <c r="D130" s="4" t="s">
        <v>115</v>
      </c>
      <c r="E130" s="4" t="s">
        <v>46</v>
      </c>
      <c r="F130" s="4" t="s">
        <v>47</v>
      </c>
      <c r="G130" s="4" t="s">
        <v>48</v>
      </c>
      <c r="H130" s="19">
        <v>3</v>
      </c>
      <c r="I130" s="4">
        <v>149.99</v>
      </c>
      <c r="J130" s="4" t="s">
        <v>36</v>
      </c>
      <c r="K130" s="4" t="s">
        <v>65</v>
      </c>
      <c r="L130" s="4" t="s">
        <v>24</v>
      </c>
      <c r="M130" s="5">
        <v>44886</v>
      </c>
      <c r="N130" s="4">
        <v>449.97</v>
      </c>
    </row>
    <row r="131" spans="1:14" x14ac:dyDescent="0.3">
      <c r="A131" s="4" t="s">
        <v>288</v>
      </c>
      <c r="B131" s="5">
        <v>45608</v>
      </c>
      <c r="C131" s="4" t="s">
        <v>85</v>
      </c>
      <c r="D131" s="4" t="s">
        <v>86</v>
      </c>
      <c r="E131" s="4" t="s">
        <v>33</v>
      </c>
      <c r="F131" s="4" t="s">
        <v>34</v>
      </c>
      <c r="G131" s="4" t="s">
        <v>35</v>
      </c>
      <c r="H131" s="19">
        <v>3</v>
      </c>
      <c r="I131" s="4">
        <v>59.99</v>
      </c>
      <c r="J131" s="4" t="s">
        <v>59</v>
      </c>
      <c r="K131" s="4" t="s">
        <v>37</v>
      </c>
      <c r="L131" s="4" t="s">
        <v>38</v>
      </c>
      <c r="M131" s="5">
        <v>45260</v>
      </c>
      <c r="N131" s="4">
        <v>179.97</v>
      </c>
    </row>
    <row r="132" spans="1:14" x14ac:dyDescent="0.3">
      <c r="A132" s="4" t="s">
        <v>278</v>
      </c>
      <c r="B132" s="5">
        <v>45592</v>
      </c>
      <c r="C132" s="4" t="s">
        <v>173</v>
      </c>
      <c r="D132" s="4" t="s">
        <v>174</v>
      </c>
      <c r="E132" s="4" t="s">
        <v>119</v>
      </c>
      <c r="F132" s="4" t="s">
        <v>120</v>
      </c>
      <c r="G132" s="4" t="s">
        <v>21</v>
      </c>
      <c r="H132" s="19">
        <v>3</v>
      </c>
      <c r="I132" s="4">
        <v>89.99</v>
      </c>
      <c r="J132" s="4" t="s">
        <v>28</v>
      </c>
      <c r="K132" s="4" t="s">
        <v>42</v>
      </c>
      <c r="L132" s="4" t="s">
        <v>38</v>
      </c>
      <c r="M132" s="5">
        <v>44615</v>
      </c>
      <c r="N132" s="4">
        <v>269.97000000000003</v>
      </c>
    </row>
    <row r="133" spans="1:14" x14ac:dyDescent="0.3">
      <c r="A133" s="4" t="s">
        <v>281</v>
      </c>
      <c r="B133" s="5">
        <v>45603</v>
      </c>
      <c r="C133" s="4" t="s">
        <v>101</v>
      </c>
      <c r="D133" s="4" t="s">
        <v>102</v>
      </c>
      <c r="E133" s="4" t="s">
        <v>119</v>
      </c>
      <c r="F133" s="4" t="s">
        <v>120</v>
      </c>
      <c r="G133" s="4" t="s">
        <v>21</v>
      </c>
      <c r="H133" s="19">
        <v>3</v>
      </c>
      <c r="I133" s="4">
        <v>89.99</v>
      </c>
      <c r="J133" s="4" t="s">
        <v>28</v>
      </c>
      <c r="K133" s="4" t="s">
        <v>42</v>
      </c>
      <c r="L133" s="4" t="s">
        <v>29</v>
      </c>
      <c r="M133" s="5">
        <v>44420</v>
      </c>
      <c r="N133" s="4">
        <v>269.97000000000003</v>
      </c>
    </row>
    <row r="134" spans="1:14" x14ac:dyDescent="0.3">
      <c r="A134" s="4" t="s">
        <v>267</v>
      </c>
      <c r="B134" s="5">
        <v>45573</v>
      </c>
      <c r="C134" s="4" t="s">
        <v>233</v>
      </c>
      <c r="D134" s="4" t="s">
        <v>234</v>
      </c>
      <c r="E134" s="4" t="s">
        <v>46</v>
      </c>
      <c r="F134" s="4" t="s">
        <v>47</v>
      </c>
      <c r="G134" s="4" t="s">
        <v>48</v>
      </c>
      <c r="H134" s="19">
        <v>3</v>
      </c>
      <c r="I134" s="4">
        <v>149.99</v>
      </c>
      <c r="J134" s="4" t="s">
        <v>28</v>
      </c>
      <c r="K134" s="4" t="s">
        <v>37</v>
      </c>
      <c r="L134" s="4" t="s">
        <v>38</v>
      </c>
      <c r="M134" s="5">
        <v>44940</v>
      </c>
      <c r="N134" s="4">
        <v>449.97</v>
      </c>
    </row>
    <row r="135" spans="1:14" x14ac:dyDescent="0.3">
      <c r="A135" s="4" t="s">
        <v>268</v>
      </c>
      <c r="B135" s="5">
        <v>45576</v>
      </c>
      <c r="C135" s="4" t="s">
        <v>149</v>
      </c>
      <c r="D135" s="4" t="s">
        <v>150</v>
      </c>
      <c r="E135" s="4" t="s">
        <v>107</v>
      </c>
      <c r="F135" s="4" t="s">
        <v>108</v>
      </c>
      <c r="G135" s="4" t="s">
        <v>48</v>
      </c>
      <c r="H135" s="19">
        <v>3</v>
      </c>
      <c r="I135" s="4">
        <v>299.99</v>
      </c>
      <c r="J135" s="4" t="s">
        <v>28</v>
      </c>
      <c r="K135" s="4" t="s">
        <v>23</v>
      </c>
      <c r="L135" s="4" t="s">
        <v>38</v>
      </c>
      <c r="M135" s="5">
        <v>45174</v>
      </c>
      <c r="N135" s="4">
        <v>899.97</v>
      </c>
    </row>
    <row r="136" spans="1:14" x14ac:dyDescent="0.3">
      <c r="A136" s="4" t="s">
        <v>284</v>
      </c>
      <c r="B136" s="5">
        <v>45607</v>
      </c>
      <c r="C136" s="4" t="s">
        <v>74</v>
      </c>
      <c r="D136" s="4" t="s">
        <v>75</v>
      </c>
      <c r="E136" s="4" t="s">
        <v>54</v>
      </c>
      <c r="F136" s="4" t="s">
        <v>55</v>
      </c>
      <c r="G136" s="4" t="s">
        <v>21</v>
      </c>
      <c r="H136" s="19">
        <v>3</v>
      </c>
      <c r="I136" s="4">
        <v>149.99</v>
      </c>
      <c r="J136" s="4" t="s">
        <v>22</v>
      </c>
      <c r="K136" s="4" t="s">
        <v>42</v>
      </c>
      <c r="L136" s="4" t="s">
        <v>24</v>
      </c>
      <c r="M136" s="5">
        <v>44769</v>
      </c>
      <c r="N136" s="4">
        <v>449.97</v>
      </c>
    </row>
    <row r="137" spans="1:14" x14ac:dyDescent="0.3">
      <c r="A137" s="4" t="s">
        <v>293</v>
      </c>
      <c r="B137" s="5">
        <v>45619</v>
      </c>
      <c r="C137" s="4" t="s">
        <v>156</v>
      </c>
      <c r="D137" s="4" t="s">
        <v>157</v>
      </c>
      <c r="E137" s="4" t="s">
        <v>82</v>
      </c>
      <c r="F137" s="4" t="s">
        <v>83</v>
      </c>
      <c r="G137" s="4" t="s">
        <v>21</v>
      </c>
      <c r="H137" s="19">
        <v>3</v>
      </c>
      <c r="I137" s="4">
        <v>699.99</v>
      </c>
      <c r="J137" s="4" t="s">
        <v>36</v>
      </c>
      <c r="K137" s="4" t="s">
        <v>52</v>
      </c>
      <c r="L137" s="4" t="s">
        <v>38</v>
      </c>
      <c r="M137" s="5">
        <v>44583</v>
      </c>
      <c r="N137" s="4">
        <v>2099.9699999999998</v>
      </c>
    </row>
    <row r="138" spans="1:14" x14ac:dyDescent="0.3">
      <c r="A138" s="4" t="s">
        <v>331</v>
      </c>
      <c r="B138" s="5">
        <v>45666</v>
      </c>
      <c r="C138" s="4" t="s">
        <v>67</v>
      </c>
      <c r="D138" s="4" t="s">
        <v>68</v>
      </c>
      <c r="E138" s="4" t="s">
        <v>82</v>
      </c>
      <c r="F138" s="4" t="s">
        <v>83</v>
      </c>
      <c r="G138" s="4" t="s">
        <v>21</v>
      </c>
      <c r="H138" s="19">
        <v>3</v>
      </c>
      <c r="I138" s="4">
        <v>699.99</v>
      </c>
      <c r="J138" s="4" t="s">
        <v>28</v>
      </c>
      <c r="K138" s="4" t="s">
        <v>23</v>
      </c>
      <c r="L138" s="4" t="s">
        <v>29</v>
      </c>
      <c r="M138" s="5">
        <v>45105</v>
      </c>
      <c r="N138" s="4">
        <v>2099.9699999999998</v>
      </c>
    </row>
    <row r="139" spans="1:14" x14ac:dyDescent="0.3">
      <c r="A139" s="4" t="s">
        <v>335</v>
      </c>
      <c r="B139" s="5">
        <v>45668</v>
      </c>
      <c r="C139" s="4" t="s">
        <v>80</v>
      </c>
      <c r="D139" s="4" t="s">
        <v>81</v>
      </c>
      <c r="E139" s="4" t="s">
        <v>82</v>
      </c>
      <c r="F139" s="4" t="s">
        <v>83</v>
      </c>
      <c r="G139" s="4" t="s">
        <v>21</v>
      </c>
      <c r="H139" s="19">
        <v>3</v>
      </c>
      <c r="I139" s="4">
        <v>699.99</v>
      </c>
      <c r="J139" s="4" t="s">
        <v>22</v>
      </c>
      <c r="K139" s="4" t="s">
        <v>42</v>
      </c>
      <c r="L139" s="4" t="s">
        <v>29</v>
      </c>
      <c r="M139" s="5">
        <v>44602</v>
      </c>
      <c r="N139" s="4">
        <v>2099.9699999999998</v>
      </c>
    </row>
    <row r="140" spans="1:14" x14ac:dyDescent="0.3">
      <c r="A140" s="4" t="s">
        <v>352</v>
      </c>
      <c r="B140" s="5">
        <v>45688</v>
      </c>
      <c r="C140" s="4" t="s">
        <v>44</v>
      </c>
      <c r="D140" s="4" t="s">
        <v>45</v>
      </c>
      <c r="E140" s="4" t="s">
        <v>119</v>
      </c>
      <c r="F140" s="4" t="s">
        <v>120</v>
      </c>
      <c r="G140" s="4" t="s">
        <v>21</v>
      </c>
      <c r="H140" s="19">
        <v>3</v>
      </c>
      <c r="I140" s="4">
        <v>89.99</v>
      </c>
      <c r="J140" s="4" t="s">
        <v>59</v>
      </c>
      <c r="K140" s="4" t="s">
        <v>37</v>
      </c>
      <c r="L140" s="4" t="s">
        <v>29</v>
      </c>
      <c r="M140" s="5">
        <v>45307</v>
      </c>
      <c r="N140" s="4">
        <v>269.97000000000003</v>
      </c>
    </row>
    <row r="141" spans="1:14" x14ac:dyDescent="0.3">
      <c r="A141" s="4" t="s">
        <v>363</v>
      </c>
      <c r="B141" s="5">
        <v>45708</v>
      </c>
      <c r="C141" s="4" t="s">
        <v>98</v>
      </c>
      <c r="D141" s="4" t="s">
        <v>99</v>
      </c>
      <c r="E141" s="4" t="s">
        <v>63</v>
      </c>
      <c r="F141" s="4" t="s">
        <v>64</v>
      </c>
      <c r="G141" s="4" t="s">
        <v>21</v>
      </c>
      <c r="H141" s="19">
        <v>3</v>
      </c>
      <c r="I141" s="4">
        <v>899.99</v>
      </c>
      <c r="J141" s="4" t="s">
        <v>22</v>
      </c>
      <c r="K141" s="4" t="s">
        <v>65</v>
      </c>
      <c r="L141" s="4" t="s">
        <v>38</v>
      </c>
      <c r="M141" s="5">
        <v>44613</v>
      </c>
      <c r="N141" s="4">
        <v>2699.97</v>
      </c>
    </row>
    <row r="142" spans="1:14" x14ac:dyDescent="0.3">
      <c r="A142" s="4" t="s">
        <v>384</v>
      </c>
      <c r="B142" s="5">
        <v>45737</v>
      </c>
      <c r="C142" s="4" t="s">
        <v>152</v>
      </c>
      <c r="D142" s="4" t="s">
        <v>153</v>
      </c>
      <c r="E142" s="4" t="s">
        <v>63</v>
      </c>
      <c r="F142" s="4" t="s">
        <v>64</v>
      </c>
      <c r="G142" s="4" t="s">
        <v>21</v>
      </c>
      <c r="H142" s="19">
        <v>3</v>
      </c>
      <c r="I142" s="4">
        <v>899.99</v>
      </c>
      <c r="J142" s="4" t="s">
        <v>59</v>
      </c>
      <c r="K142" s="4" t="s">
        <v>42</v>
      </c>
      <c r="L142" s="4" t="s">
        <v>29</v>
      </c>
      <c r="M142" s="5">
        <v>44876</v>
      </c>
      <c r="N142" s="4">
        <v>2699.97</v>
      </c>
    </row>
    <row r="143" spans="1:14" x14ac:dyDescent="0.3">
      <c r="A143" s="4" t="s">
        <v>385</v>
      </c>
      <c r="B143" s="5">
        <v>45737</v>
      </c>
      <c r="C143" s="4" t="s">
        <v>50</v>
      </c>
      <c r="D143" s="4" t="s">
        <v>51</v>
      </c>
      <c r="E143" s="4" t="s">
        <v>63</v>
      </c>
      <c r="F143" s="4" t="s">
        <v>64</v>
      </c>
      <c r="G143" s="4" t="s">
        <v>21</v>
      </c>
      <c r="H143" s="19">
        <v>3</v>
      </c>
      <c r="I143" s="4">
        <v>899.99</v>
      </c>
      <c r="J143" s="4" t="s">
        <v>36</v>
      </c>
      <c r="K143" s="4" t="s">
        <v>42</v>
      </c>
      <c r="L143" s="4" t="s">
        <v>24</v>
      </c>
      <c r="M143" s="5">
        <v>44975</v>
      </c>
      <c r="N143" s="4">
        <v>2699.97</v>
      </c>
    </row>
    <row r="144" spans="1:14" x14ac:dyDescent="0.3">
      <c r="A144" s="4" t="s">
        <v>395</v>
      </c>
      <c r="B144" s="5">
        <v>45749</v>
      </c>
      <c r="C144" s="4" t="s">
        <v>125</v>
      </c>
      <c r="D144" s="4" t="s">
        <v>126</v>
      </c>
      <c r="E144" s="4" t="s">
        <v>63</v>
      </c>
      <c r="F144" s="4" t="s">
        <v>64</v>
      </c>
      <c r="G144" s="4" t="s">
        <v>21</v>
      </c>
      <c r="H144" s="19">
        <v>3</v>
      </c>
      <c r="I144" s="4">
        <v>899.99</v>
      </c>
      <c r="J144" s="4" t="s">
        <v>22</v>
      </c>
      <c r="K144" s="4" t="s">
        <v>23</v>
      </c>
      <c r="L144" s="4" t="s">
        <v>38</v>
      </c>
      <c r="M144" s="5">
        <v>44953</v>
      </c>
      <c r="N144" s="4">
        <v>2699.97</v>
      </c>
    </row>
    <row r="145" spans="1:14" x14ac:dyDescent="0.3">
      <c r="A145" s="4" t="s">
        <v>398</v>
      </c>
      <c r="B145" s="5">
        <v>45758</v>
      </c>
      <c r="C145" s="4" t="s">
        <v>295</v>
      </c>
      <c r="D145" s="4" t="s">
        <v>296</v>
      </c>
      <c r="E145" s="4" t="s">
        <v>82</v>
      </c>
      <c r="F145" s="4" t="s">
        <v>83</v>
      </c>
      <c r="G145" s="4" t="s">
        <v>21</v>
      </c>
      <c r="H145" s="19">
        <v>3</v>
      </c>
      <c r="I145" s="4">
        <v>699.99</v>
      </c>
      <c r="J145" s="4" t="s">
        <v>36</v>
      </c>
      <c r="K145" s="4" t="s">
        <v>42</v>
      </c>
      <c r="L145" s="4" t="s">
        <v>24</v>
      </c>
      <c r="M145" s="5">
        <v>44909</v>
      </c>
      <c r="N145" s="4">
        <v>2099.9699999999998</v>
      </c>
    </row>
    <row r="146" spans="1:14" x14ac:dyDescent="0.3">
      <c r="A146" s="4" t="s">
        <v>400</v>
      </c>
      <c r="B146" s="5">
        <v>45758</v>
      </c>
      <c r="C146" s="4" t="s">
        <v>140</v>
      </c>
      <c r="D146" s="4" t="s">
        <v>141</v>
      </c>
      <c r="E146" s="4" t="s">
        <v>119</v>
      </c>
      <c r="F146" s="4" t="s">
        <v>120</v>
      </c>
      <c r="G146" s="4" t="s">
        <v>21</v>
      </c>
      <c r="H146" s="19">
        <v>3</v>
      </c>
      <c r="I146" s="4">
        <v>89.99</v>
      </c>
      <c r="J146" s="4" t="s">
        <v>59</v>
      </c>
      <c r="K146" s="4" t="s">
        <v>42</v>
      </c>
      <c r="L146" s="4" t="s">
        <v>29</v>
      </c>
      <c r="M146" s="5">
        <v>44878</v>
      </c>
      <c r="N146" s="4">
        <v>269.97000000000003</v>
      </c>
    </row>
    <row r="147" spans="1:14" x14ac:dyDescent="0.3">
      <c r="A147" s="4" t="s">
        <v>280</v>
      </c>
      <c r="B147" s="5">
        <v>45600</v>
      </c>
      <c r="C147" s="4" t="s">
        <v>67</v>
      </c>
      <c r="D147" s="4" t="s">
        <v>68</v>
      </c>
      <c r="E147" s="4" t="s">
        <v>107</v>
      </c>
      <c r="F147" s="4" t="s">
        <v>108</v>
      </c>
      <c r="G147" s="4" t="s">
        <v>48</v>
      </c>
      <c r="H147" s="19">
        <v>3</v>
      </c>
      <c r="I147" s="4">
        <v>299.99</v>
      </c>
      <c r="J147" s="4" t="s">
        <v>28</v>
      </c>
      <c r="K147" s="4" t="s">
        <v>37</v>
      </c>
      <c r="L147" s="4" t="s">
        <v>38</v>
      </c>
      <c r="M147" s="5">
        <v>44502</v>
      </c>
      <c r="N147" s="4">
        <v>899.97</v>
      </c>
    </row>
    <row r="148" spans="1:14" x14ac:dyDescent="0.3">
      <c r="A148" s="4" t="s">
        <v>298</v>
      </c>
      <c r="B148" s="5">
        <v>45627</v>
      </c>
      <c r="C148" s="4" t="s">
        <v>31</v>
      </c>
      <c r="D148" s="4" t="s">
        <v>32</v>
      </c>
      <c r="E148" s="4" t="s">
        <v>107</v>
      </c>
      <c r="F148" s="4" t="s">
        <v>108</v>
      </c>
      <c r="G148" s="4" t="s">
        <v>48</v>
      </c>
      <c r="H148" s="19">
        <v>3</v>
      </c>
      <c r="I148" s="4">
        <v>299.99</v>
      </c>
      <c r="J148" s="4" t="s">
        <v>22</v>
      </c>
      <c r="K148" s="4" t="s">
        <v>37</v>
      </c>
      <c r="L148" s="4" t="s">
        <v>29</v>
      </c>
      <c r="M148" s="5">
        <v>44659</v>
      </c>
      <c r="N148" s="4">
        <v>899.97</v>
      </c>
    </row>
    <row r="149" spans="1:14" x14ac:dyDescent="0.3">
      <c r="A149" s="4" t="s">
        <v>305</v>
      </c>
      <c r="B149" s="5">
        <v>45635</v>
      </c>
      <c r="C149" s="4" t="s">
        <v>306</v>
      </c>
      <c r="D149" s="4" t="s">
        <v>307</v>
      </c>
      <c r="E149" s="4" t="s">
        <v>33</v>
      </c>
      <c r="F149" s="4" t="s">
        <v>34</v>
      </c>
      <c r="G149" s="4" t="s">
        <v>35</v>
      </c>
      <c r="H149" s="19">
        <v>3</v>
      </c>
      <c r="I149" s="4">
        <v>59.99</v>
      </c>
      <c r="J149" s="4" t="s">
        <v>22</v>
      </c>
      <c r="K149" s="4" t="s">
        <v>23</v>
      </c>
      <c r="L149" s="4" t="s">
        <v>29</v>
      </c>
      <c r="M149" s="5">
        <v>45052</v>
      </c>
      <c r="N149" s="4">
        <v>179.97</v>
      </c>
    </row>
    <row r="150" spans="1:14" x14ac:dyDescent="0.3">
      <c r="A150" s="4" t="s">
        <v>318</v>
      </c>
      <c r="B150" s="5">
        <v>45648</v>
      </c>
      <c r="C150" s="4" t="s">
        <v>184</v>
      </c>
      <c r="D150" s="4" t="s">
        <v>185</v>
      </c>
      <c r="E150" s="4" t="s">
        <v>46</v>
      </c>
      <c r="F150" s="4" t="s">
        <v>47</v>
      </c>
      <c r="G150" s="4" t="s">
        <v>48</v>
      </c>
      <c r="H150" s="19">
        <v>3</v>
      </c>
      <c r="I150" s="4">
        <v>149.99</v>
      </c>
      <c r="J150" s="4" t="s">
        <v>59</v>
      </c>
      <c r="K150" s="4" t="s">
        <v>42</v>
      </c>
      <c r="L150" s="4" t="s">
        <v>38</v>
      </c>
      <c r="M150" s="5">
        <v>44522</v>
      </c>
      <c r="N150" s="4">
        <v>449.97</v>
      </c>
    </row>
    <row r="151" spans="1:14" x14ac:dyDescent="0.3">
      <c r="A151" s="4" t="s">
        <v>309</v>
      </c>
      <c r="B151" s="5">
        <v>45636</v>
      </c>
      <c r="C151" s="4" t="s">
        <v>122</v>
      </c>
      <c r="D151" s="4" t="s">
        <v>123</v>
      </c>
      <c r="E151" s="4" t="s">
        <v>116</v>
      </c>
      <c r="F151" s="4" t="s">
        <v>117</v>
      </c>
      <c r="G151" s="4" t="s">
        <v>35</v>
      </c>
      <c r="H151" s="19">
        <v>3</v>
      </c>
      <c r="I151" s="4">
        <v>79.989999999999995</v>
      </c>
      <c r="J151" s="4" t="s">
        <v>59</v>
      </c>
      <c r="K151" s="4" t="s">
        <v>65</v>
      </c>
      <c r="L151" s="4" t="s">
        <v>38</v>
      </c>
      <c r="M151" s="5">
        <v>44779</v>
      </c>
      <c r="N151" s="4">
        <v>239.97</v>
      </c>
    </row>
    <row r="152" spans="1:14" x14ac:dyDescent="0.3">
      <c r="A152" s="4" t="s">
        <v>330</v>
      </c>
      <c r="B152" s="5">
        <v>45663</v>
      </c>
      <c r="C152" s="4" t="s">
        <v>44</v>
      </c>
      <c r="D152" s="4" t="s">
        <v>45</v>
      </c>
      <c r="E152" s="4" t="s">
        <v>107</v>
      </c>
      <c r="F152" s="4" t="s">
        <v>108</v>
      </c>
      <c r="G152" s="4" t="s">
        <v>48</v>
      </c>
      <c r="H152" s="19">
        <v>3</v>
      </c>
      <c r="I152" s="4">
        <v>299.99</v>
      </c>
      <c r="J152" s="4" t="s">
        <v>22</v>
      </c>
      <c r="K152" s="4" t="s">
        <v>37</v>
      </c>
      <c r="L152" s="4" t="s">
        <v>38</v>
      </c>
      <c r="M152" s="5">
        <v>44422</v>
      </c>
      <c r="N152" s="4">
        <v>899.97</v>
      </c>
    </row>
    <row r="153" spans="1:14" x14ac:dyDescent="0.3">
      <c r="A153" s="4" t="s">
        <v>340</v>
      </c>
      <c r="B153" s="5">
        <v>45671</v>
      </c>
      <c r="C153" s="4" t="s">
        <v>236</v>
      </c>
      <c r="D153" s="4" t="s">
        <v>237</v>
      </c>
      <c r="E153" s="4" t="s">
        <v>107</v>
      </c>
      <c r="F153" s="4" t="s">
        <v>108</v>
      </c>
      <c r="G153" s="4" t="s">
        <v>48</v>
      </c>
      <c r="H153" s="19">
        <v>3</v>
      </c>
      <c r="I153" s="4">
        <v>299.99</v>
      </c>
      <c r="J153" s="4" t="s">
        <v>28</v>
      </c>
      <c r="K153" s="4" t="s">
        <v>37</v>
      </c>
      <c r="L153" s="4" t="s">
        <v>24</v>
      </c>
      <c r="M153" s="5">
        <v>45204</v>
      </c>
      <c r="N153" s="4">
        <v>899.97</v>
      </c>
    </row>
    <row r="154" spans="1:14" x14ac:dyDescent="0.3">
      <c r="A154" s="4" t="s">
        <v>357</v>
      </c>
      <c r="B154" s="5">
        <v>45701</v>
      </c>
      <c r="C154" s="4" t="s">
        <v>110</v>
      </c>
      <c r="D154" s="4" t="s">
        <v>111</v>
      </c>
      <c r="E154" s="4" t="s">
        <v>116</v>
      </c>
      <c r="F154" s="4" t="s">
        <v>117</v>
      </c>
      <c r="G154" s="4" t="s">
        <v>35</v>
      </c>
      <c r="H154" s="19">
        <v>3</v>
      </c>
      <c r="I154" s="4">
        <v>79.989999999999995</v>
      </c>
      <c r="J154" s="4" t="s">
        <v>22</v>
      </c>
      <c r="K154" s="4" t="s">
        <v>65</v>
      </c>
      <c r="L154" s="4" t="s">
        <v>29</v>
      </c>
      <c r="M154" s="5">
        <v>44436</v>
      </c>
      <c r="N154" s="4">
        <v>239.97</v>
      </c>
    </row>
    <row r="155" spans="1:14" x14ac:dyDescent="0.3">
      <c r="A155" s="4" t="s">
        <v>343</v>
      </c>
      <c r="B155" s="5">
        <v>45673</v>
      </c>
      <c r="C155" s="4" t="s">
        <v>61</v>
      </c>
      <c r="D155" s="4" t="s">
        <v>62</v>
      </c>
      <c r="E155" s="4" t="s">
        <v>46</v>
      </c>
      <c r="F155" s="4" t="s">
        <v>47</v>
      </c>
      <c r="G155" s="4" t="s">
        <v>48</v>
      </c>
      <c r="H155" s="19">
        <v>3</v>
      </c>
      <c r="I155" s="4">
        <v>149.99</v>
      </c>
      <c r="J155" s="4" t="s">
        <v>28</v>
      </c>
      <c r="K155" s="4" t="s">
        <v>65</v>
      </c>
      <c r="L155" s="4" t="s">
        <v>38</v>
      </c>
      <c r="M155" s="5">
        <v>44395</v>
      </c>
      <c r="N155" s="4">
        <v>449.97</v>
      </c>
    </row>
    <row r="156" spans="1:14" x14ac:dyDescent="0.3">
      <c r="A156" s="4" t="s">
        <v>348</v>
      </c>
      <c r="B156" s="5">
        <v>45686</v>
      </c>
      <c r="C156" s="4" t="s">
        <v>88</v>
      </c>
      <c r="D156" s="4" t="s">
        <v>89</v>
      </c>
      <c r="E156" s="4" t="s">
        <v>107</v>
      </c>
      <c r="F156" s="4" t="s">
        <v>108</v>
      </c>
      <c r="G156" s="4" t="s">
        <v>48</v>
      </c>
      <c r="H156" s="19">
        <v>3</v>
      </c>
      <c r="I156" s="4">
        <v>299.99</v>
      </c>
      <c r="J156" s="4" t="s">
        <v>59</v>
      </c>
      <c r="K156" s="4" t="s">
        <v>52</v>
      </c>
      <c r="L156" s="4" t="s">
        <v>38</v>
      </c>
      <c r="M156" s="5">
        <v>44952</v>
      </c>
      <c r="N156" s="4">
        <v>899.97</v>
      </c>
    </row>
    <row r="157" spans="1:14" x14ac:dyDescent="0.3">
      <c r="A157" s="4" t="s">
        <v>396</v>
      </c>
      <c r="B157" s="5">
        <v>45755</v>
      </c>
      <c r="C157" s="4" t="s">
        <v>95</v>
      </c>
      <c r="D157" s="4" t="s">
        <v>96</v>
      </c>
      <c r="E157" s="4" t="s">
        <v>116</v>
      </c>
      <c r="F157" s="4" t="s">
        <v>117</v>
      </c>
      <c r="G157" s="4" t="s">
        <v>35</v>
      </c>
      <c r="H157" s="19">
        <v>3</v>
      </c>
      <c r="I157" s="4">
        <v>79.989999999999995</v>
      </c>
      <c r="J157" s="4" t="s">
        <v>28</v>
      </c>
      <c r="K157" s="4" t="s">
        <v>42</v>
      </c>
      <c r="L157" s="4" t="s">
        <v>24</v>
      </c>
      <c r="M157" s="5">
        <v>44511</v>
      </c>
      <c r="N157" s="4">
        <v>239.97</v>
      </c>
    </row>
    <row r="158" spans="1:14" x14ac:dyDescent="0.3">
      <c r="A158" s="4" t="s">
        <v>354</v>
      </c>
      <c r="B158" s="5">
        <v>45695</v>
      </c>
      <c r="C158" s="4" t="s">
        <v>248</v>
      </c>
      <c r="D158" s="4" t="s">
        <v>249</v>
      </c>
      <c r="E158" s="4" t="s">
        <v>46</v>
      </c>
      <c r="F158" s="4" t="s">
        <v>47</v>
      </c>
      <c r="G158" s="4" t="s">
        <v>48</v>
      </c>
      <c r="H158" s="19">
        <v>3</v>
      </c>
      <c r="I158" s="4">
        <v>149.99</v>
      </c>
      <c r="J158" s="4" t="s">
        <v>59</v>
      </c>
      <c r="K158" s="4" t="s">
        <v>42</v>
      </c>
      <c r="L158" s="4" t="s">
        <v>29</v>
      </c>
      <c r="M158" s="5">
        <v>44564</v>
      </c>
      <c r="N158" s="4">
        <v>449.97</v>
      </c>
    </row>
    <row r="159" spans="1:14" x14ac:dyDescent="0.3">
      <c r="A159" s="4" t="s">
        <v>358</v>
      </c>
      <c r="B159" s="5">
        <v>45704</v>
      </c>
      <c r="C159" s="4" t="s">
        <v>31</v>
      </c>
      <c r="D159" s="4" t="s">
        <v>32</v>
      </c>
      <c r="E159" s="4" t="s">
        <v>128</v>
      </c>
      <c r="F159" s="4" t="s">
        <v>129</v>
      </c>
      <c r="G159" s="4" t="s">
        <v>48</v>
      </c>
      <c r="H159" s="19">
        <v>3</v>
      </c>
      <c r="I159" s="4">
        <v>199.99</v>
      </c>
      <c r="J159" s="4" t="s">
        <v>22</v>
      </c>
      <c r="K159" s="4" t="s">
        <v>23</v>
      </c>
      <c r="L159" s="4" t="s">
        <v>24</v>
      </c>
      <c r="M159" s="5">
        <v>44735</v>
      </c>
      <c r="N159" s="4">
        <v>599.97</v>
      </c>
    </row>
    <row r="160" spans="1:14" x14ac:dyDescent="0.3">
      <c r="A160" s="4" t="s">
        <v>362</v>
      </c>
      <c r="B160" s="5">
        <v>45707</v>
      </c>
      <c r="C160" s="4" t="s">
        <v>44</v>
      </c>
      <c r="D160" s="4" t="s">
        <v>45</v>
      </c>
      <c r="E160" s="4" t="s">
        <v>46</v>
      </c>
      <c r="F160" s="4" t="s">
        <v>47</v>
      </c>
      <c r="G160" s="4" t="s">
        <v>48</v>
      </c>
      <c r="H160" s="19">
        <v>3</v>
      </c>
      <c r="I160" s="4">
        <v>149.99</v>
      </c>
      <c r="J160" s="4" t="s">
        <v>36</v>
      </c>
      <c r="K160" s="4" t="s">
        <v>23</v>
      </c>
      <c r="L160" s="4" t="s">
        <v>38</v>
      </c>
      <c r="M160" s="5">
        <v>44633</v>
      </c>
      <c r="N160" s="4">
        <v>449.97</v>
      </c>
    </row>
    <row r="161" spans="1:14" x14ac:dyDescent="0.3">
      <c r="A161" s="4" t="s">
        <v>364</v>
      </c>
      <c r="B161" s="5">
        <v>45708</v>
      </c>
      <c r="C161" s="4" t="s">
        <v>194</v>
      </c>
      <c r="D161" s="4" t="s">
        <v>195</v>
      </c>
      <c r="E161" s="4" t="s">
        <v>128</v>
      </c>
      <c r="F161" s="4" t="s">
        <v>129</v>
      </c>
      <c r="G161" s="4" t="s">
        <v>48</v>
      </c>
      <c r="H161" s="19">
        <v>3</v>
      </c>
      <c r="I161" s="4">
        <v>199.99</v>
      </c>
      <c r="J161" s="4" t="s">
        <v>22</v>
      </c>
      <c r="K161" s="4" t="s">
        <v>52</v>
      </c>
      <c r="L161" s="4" t="s">
        <v>29</v>
      </c>
      <c r="M161" s="5">
        <v>44823</v>
      </c>
      <c r="N161" s="4">
        <v>599.97</v>
      </c>
    </row>
    <row r="162" spans="1:14" x14ac:dyDescent="0.3">
      <c r="A162" s="4" t="s">
        <v>386</v>
      </c>
      <c r="B162" s="5">
        <v>45739</v>
      </c>
      <c r="C162" s="4" t="s">
        <v>17</v>
      </c>
      <c r="D162" s="4" t="s">
        <v>18</v>
      </c>
      <c r="E162" s="4" t="s">
        <v>107</v>
      </c>
      <c r="F162" s="4" t="s">
        <v>108</v>
      </c>
      <c r="G162" s="4" t="s">
        <v>48</v>
      </c>
      <c r="H162" s="19">
        <v>3</v>
      </c>
      <c r="I162" s="4">
        <v>299.99</v>
      </c>
      <c r="J162" s="4" t="s">
        <v>28</v>
      </c>
      <c r="K162" s="4" t="s">
        <v>52</v>
      </c>
      <c r="L162" s="4" t="s">
        <v>29</v>
      </c>
      <c r="M162" s="5">
        <v>45234</v>
      </c>
      <c r="N162" s="4">
        <v>899.97</v>
      </c>
    </row>
    <row r="163" spans="1:14" x14ac:dyDescent="0.3">
      <c r="A163" s="4" t="s">
        <v>392</v>
      </c>
      <c r="B163" s="5">
        <v>45746</v>
      </c>
      <c r="C163" s="4" t="s">
        <v>95</v>
      </c>
      <c r="D163" s="4" t="s">
        <v>96</v>
      </c>
      <c r="E163" s="4" t="s">
        <v>46</v>
      </c>
      <c r="F163" s="4" t="s">
        <v>47</v>
      </c>
      <c r="G163" s="4" t="s">
        <v>48</v>
      </c>
      <c r="H163" s="19">
        <v>3</v>
      </c>
      <c r="I163" s="4">
        <v>149.99</v>
      </c>
      <c r="J163" s="4" t="s">
        <v>36</v>
      </c>
      <c r="K163" s="4" t="s">
        <v>23</v>
      </c>
      <c r="L163" s="4" t="s">
        <v>38</v>
      </c>
      <c r="M163" s="5">
        <v>45171</v>
      </c>
      <c r="N163" s="4">
        <v>449.97</v>
      </c>
    </row>
    <row r="164" spans="1:14" x14ac:dyDescent="0.3">
      <c r="A164" s="4" t="s">
        <v>124</v>
      </c>
      <c r="B164" s="5">
        <v>45427</v>
      </c>
      <c r="C164" s="4" t="s">
        <v>125</v>
      </c>
      <c r="D164" s="4" t="s">
        <v>126</v>
      </c>
      <c r="E164" s="4" t="s">
        <v>33</v>
      </c>
      <c r="F164" s="4" t="s">
        <v>34</v>
      </c>
      <c r="G164" s="4" t="s">
        <v>35</v>
      </c>
      <c r="H164" s="19">
        <v>4</v>
      </c>
      <c r="I164" s="4">
        <v>59.99</v>
      </c>
      <c r="J164" s="4" t="s">
        <v>59</v>
      </c>
      <c r="K164" s="4" t="s">
        <v>65</v>
      </c>
      <c r="L164" s="4" t="s">
        <v>38</v>
      </c>
      <c r="M164" s="5">
        <v>44867</v>
      </c>
      <c r="N164" s="4">
        <v>239.96</v>
      </c>
    </row>
    <row r="165" spans="1:14" x14ac:dyDescent="0.3">
      <c r="A165" s="4" t="s">
        <v>163</v>
      </c>
      <c r="B165" s="5">
        <v>45452</v>
      </c>
      <c r="C165" s="4" t="s">
        <v>164</v>
      </c>
      <c r="D165" s="4" t="s">
        <v>165</v>
      </c>
      <c r="E165" s="4" t="s">
        <v>33</v>
      </c>
      <c r="F165" s="4" t="s">
        <v>34</v>
      </c>
      <c r="G165" s="4" t="s">
        <v>35</v>
      </c>
      <c r="H165" s="19">
        <v>4</v>
      </c>
      <c r="I165" s="4">
        <v>59.99</v>
      </c>
      <c r="J165" s="4" t="s">
        <v>22</v>
      </c>
      <c r="K165" s="4" t="s">
        <v>65</v>
      </c>
      <c r="L165" s="4" t="s">
        <v>38</v>
      </c>
      <c r="M165" s="5">
        <v>44435</v>
      </c>
      <c r="N165" s="4">
        <v>239.96</v>
      </c>
    </row>
    <row r="166" spans="1:14" x14ac:dyDescent="0.3">
      <c r="A166" s="4" t="s">
        <v>191</v>
      </c>
      <c r="B166" s="5">
        <v>45482</v>
      </c>
      <c r="C166" s="4" t="s">
        <v>173</v>
      </c>
      <c r="D166" s="4" t="s">
        <v>174</v>
      </c>
      <c r="E166" s="4" t="s">
        <v>33</v>
      </c>
      <c r="F166" s="4" t="s">
        <v>34</v>
      </c>
      <c r="G166" s="4" t="s">
        <v>35</v>
      </c>
      <c r="H166" s="19">
        <v>4</v>
      </c>
      <c r="I166" s="4">
        <v>59.99</v>
      </c>
      <c r="J166" s="4" t="s">
        <v>22</v>
      </c>
      <c r="K166" s="4" t="s">
        <v>37</v>
      </c>
      <c r="L166" s="4" t="s">
        <v>38</v>
      </c>
      <c r="M166" s="5">
        <v>44509</v>
      </c>
      <c r="N166" s="4">
        <v>239.96</v>
      </c>
    </row>
    <row r="167" spans="1:14" x14ac:dyDescent="0.3">
      <c r="A167" s="4" t="s">
        <v>243</v>
      </c>
      <c r="B167" s="5">
        <v>45544</v>
      </c>
      <c r="C167" s="4" t="s">
        <v>143</v>
      </c>
      <c r="D167" s="4" t="s">
        <v>144</v>
      </c>
      <c r="E167" s="4" t="s">
        <v>116</v>
      </c>
      <c r="F167" s="4" t="s">
        <v>117</v>
      </c>
      <c r="G167" s="4" t="s">
        <v>35</v>
      </c>
      <c r="H167" s="19">
        <v>4</v>
      </c>
      <c r="I167" s="4">
        <v>79.989999999999995</v>
      </c>
      <c r="J167" s="4" t="s">
        <v>22</v>
      </c>
      <c r="K167" s="4" t="s">
        <v>42</v>
      </c>
      <c r="L167" s="4" t="s">
        <v>24</v>
      </c>
      <c r="M167" s="5">
        <v>44530</v>
      </c>
      <c r="N167" s="4">
        <v>319.95999999999998</v>
      </c>
    </row>
    <row r="168" spans="1:14" x14ac:dyDescent="0.3">
      <c r="A168" s="4" t="s">
        <v>308</v>
      </c>
      <c r="B168" s="5">
        <v>45635</v>
      </c>
      <c r="C168" s="4" t="s">
        <v>143</v>
      </c>
      <c r="D168" s="4" t="s">
        <v>144</v>
      </c>
      <c r="E168" s="4" t="s">
        <v>116</v>
      </c>
      <c r="F168" s="4" t="s">
        <v>117</v>
      </c>
      <c r="G168" s="4" t="s">
        <v>35</v>
      </c>
      <c r="H168" s="19">
        <v>4</v>
      </c>
      <c r="I168" s="4">
        <v>79.989999999999995</v>
      </c>
      <c r="J168" s="4" t="s">
        <v>59</v>
      </c>
      <c r="K168" s="4" t="s">
        <v>65</v>
      </c>
      <c r="L168" s="4" t="s">
        <v>38</v>
      </c>
      <c r="M168" s="5">
        <v>44921</v>
      </c>
      <c r="N168" s="4">
        <v>319.95999999999998</v>
      </c>
    </row>
    <row r="169" spans="1:14" x14ac:dyDescent="0.3">
      <c r="A169" s="4" t="s">
        <v>345</v>
      </c>
      <c r="B169" s="5">
        <v>45682</v>
      </c>
      <c r="C169" s="4" t="s">
        <v>70</v>
      </c>
      <c r="D169" s="4" t="s">
        <v>71</v>
      </c>
      <c r="E169" s="4" t="s">
        <v>33</v>
      </c>
      <c r="F169" s="4" t="s">
        <v>34</v>
      </c>
      <c r="G169" s="4" t="s">
        <v>35</v>
      </c>
      <c r="H169" s="19">
        <v>4</v>
      </c>
      <c r="I169" s="4">
        <v>59.99</v>
      </c>
      <c r="J169" s="4" t="s">
        <v>59</v>
      </c>
      <c r="K169" s="4" t="s">
        <v>65</v>
      </c>
      <c r="L169" s="4" t="s">
        <v>38</v>
      </c>
      <c r="M169" s="5">
        <v>44564</v>
      </c>
      <c r="N169" s="4">
        <v>239.96</v>
      </c>
    </row>
    <row r="170" spans="1:14" x14ac:dyDescent="0.3">
      <c r="A170" s="4" t="s">
        <v>371</v>
      </c>
      <c r="B170" s="5">
        <v>45715</v>
      </c>
      <c r="C170" s="4" t="s">
        <v>261</v>
      </c>
      <c r="D170" s="4" t="s">
        <v>262</v>
      </c>
      <c r="E170" s="4" t="s">
        <v>33</v>
      </c>
      <c r="F170" s="4" t="s">
        <v>34</v>
      </c>
      <c r="G170" s="4" t="s">
        <v>35</v>
      </c>
      <c r="H170" s="19">
        <v>4</v>
      </c>
      <c r="I170" s="4">
        <v>59.99</v>
      </c>
      <c r="J170" s="4" t="s">
        <v>22</v>
      </c>
      <c r="K170" s="4" t="s">
        <v>52</v>
      </c>
      <c r="L170" s="4" t="s">
        <v>38</v>
      </c>
      <c r="M170" s="5">
        <v>45070</v>
      </c>
      <c r="N170" s="4">
        <v>239.96</v>
      </c>
    </row>
    <row r="171" spans="1:14" x14ac:dyDescent="0.3">
      <c r="A171" s="4" t="s">
        <v>390</v>
      </c>
      <c r="B171" s="5">
        <v>45743</v>
      </c>
      <c r="C171" s="4" t="s">
        <v>104</v>
      </c>
      <c r="D171" s="4" t="s">
        <v>105</v>
      </c>
      <c r="E171" s="4" t="s">
        <v>116</v>
      </c>
      <c r="F171" s="4" t="s">
        <v>117</v>
      </c>
      <c r="G171" s="4" t="s">
        <v>35</v>
      </c>
      <c r="H171" s="19">
        <v>4</v>
      </c>
      <c r="I171" s="4">
        <v>79.989999999999995</v>
      </c>
      <c r="J171" s="4" t="s">
        <v>28</v>
      </c>
      <c r="K171" s="4" t="s">
        <v>23</v>
      </c>
      <c r="L171" s="4" t="s">
        <v>24</v>
      </c>
      <c r="M171" s="5">
        <v>45288</v>
      </c>
      <c r="N171" s="4">
        <v>319.95999999999998</v>
      </c>
    </row>
    <row r="172" spans="1:14" x14ac:dyDescent="0.3">
      <c r="A172" s="4" t="s">
        <v>87</v>
      </c>
      <c r="B172" s="5">
        <v>45410</v>
      </c>
      <c r="C172" s="4" t="s">
        <v>88</v>
      </c>
      <c r="D172" s="4" t="s">
        <v>89</v>
      </c>
      <c r="E172" s="4" t="s">
        <v>46</v>
      </c>
      <c r="F172" s="4" t="s">
        <v>47</v>
      </c>
      <c r="G172" s="4" t="s">
        <v>48</v>
      </c>
      <c r="H172" s="19">
        <v>4</v>
      </c>
      <c r="I172" s="4">
        <v>149.99</v>
      </c>
      <c r="J172" s="4" t="s">
        <v>59</v>
      </c>
      <c r="K172" s="4" t="s">
        <v>42</v>
      </c>
      <c r="L172" s="4" t="s">
        <v>29</v>
      </c>
      <c r="M172" s="5">
        <v>45374</v>
      </c>
      <c r="N172" s="4">
        <v>599.96</v>
      </c>
    </row>
    <row r="173" spans="1:14" x14ac:dyDescent="0.3">
      <c r="A173" s="4" t="s">
        <v>93</v>
      </c>
      <c r="B173" s="5">
        <v>45410</v>
      </c>
      <c r="C173" s="4" t="s">
        <v>88</v>
      </c>
      <c r="D173" s="4" t="s">
        <v>89</v>
      </c>
      <c r="E173" s="4" t="s">
        <v>63</v>
      </c>
      <c r="F173" s="4" t="s">
        <v>64</v>
      </c>
      <c r="G173" s="4" t="s">
        <v>21</v>
      </c>
      <c r="H173" s="19">
        <v>4</v>
      </c>
      <c r="I173" s="4">
        <v>899.99</v>
      </c>
      <c r="J173" s="4" t="s">
        <v>28</v>
      </c>
      <c r="K173" s="4" t="s">
        <v>52</v>
      </c>
      <c r="L173" s="4" t="s">
        <v>38</v>
      </c>
      <c r="M173" s="5">
        <v>45327</v>
      </c>
      <c r="N173" s="4">
        <v>3599.96</v>
      </c>
    </row>
    <row r="174" spans="1:14" x14ac:dyDescent="0.3">
      <c r="A174" s="4" t="s">
        <v>100</v>
      </c>
      <c r="B174" s="5">
        <v>45413</v>
      </c>
      <c r="C174" s="4" t="s">
        <v>101</v>
      </c>
      <c r="D174" s="4" t="s">
        <v>102</v>
      </c>
      <c r="E174" s="4" t="s">
        <v>82</v>
      </c>
      <c r="F174" s="4" t="s">
        <v>83</v>
      </c>
      <c r="G174" s="4" t="s">
        <v>21</v>
      </c>
      <c r="H174" s="19">
        <v>4</v>
      </c>
      <c r="I174" s="4">
        <v>699.99</v>
      </c>
      <c r="J174" s="4" t="s">
        <v>22</v>
      </c>
      <c r="K174" s="4" t="s">
        <v>65</v>
      </c>
      <c r="L174" s="4" t="s">
        <v>38</v>
      </c>
      <c r="M174" s="5">
        <v>44409</v>
      </c>
      <c r="N174" s="4">
        <v>2799.96</v>
      </c>
    </row>
    <row r="175" spans="1:14" x14ac:dyDescent="0.3">
      <c r="A175" s="4" t="s">
        <v>106</v>
      </c>
      <c r="B175" s="5">
        <v>45416</v>
      </c>
      <c r="C175" s="4" t="s">
        <v>88</v>
      </c>
      <c r="D175" s="4" t="s">
        <v>89</v>
      </c>
      <c r="E175" s="4" t="s">
        <v>107</v>
      </c>
      <c r="F175" s="4" t="s">
        <v>108</v>
      </c>
      <c r="G175" s="4" t="s">
        <v>48</v>
      </c>
      <c r="H175" s="19">
        <v>4</v>
      </c>
      <c r="I175" s="4">
        <v>299.99</v>
      </c>
      <c r="J175" s="4" t="s">
        <v>22</v>
      </c>
      <c r="K175" s="4" t="s">
        <v>52</v>
      </c>
      <c r="L175" s="4" t="s">
        <v>29</v>
      </c>
      <c r="M175" s="5">
        <v>44716</v>
      </c>
      <c r="N175" s="4">
        <v>1199.96</v>
      </c>
    </row>
    <row r="176" spans="1:14" x14ac:dyDescent="0.3">
      <c r="A176" s="4" t="s">
        <v>103</v>
      </c>
      <c r="B176" s="5">
        <v>45415</v>
      </c>
      <c r="C176" s="4" t="s">
        <v>104</v>
      </c>
      <c r="D176" s="4" t="s">
        <v>105</v>
      </c>
      <c r="E176" s="4" t="s">
        <v>19</v>
      </c>
      <c r="F176" s="4" t="s">
        <v>20</v>
      </c>
      <c r="G176" s="4" t="s">
        <v>21</v>
      </c>
      <c r="H176" s="19">
        <v>4</v>
      </c>
      <c r="I176" s="4">
        <v>249.99</v>
      </c>
      <c r="J176" s="4" t="s">
        <v>36</v>
      </c>
      <c r="K176" s="4" t="s">
        <v>42</v>
      </c>
      <c r="L176" s="4" t="s">
        <v>38</v>
      </c>
      <c r="M176" s="5">
        <v>44468</v>
      </c>
      <c r="N176" s="4">
        <v>999.96</v>
      </c>
    </row>
    <row r="177" spans="1:14" x14ac:dyDescent="0.3">
      <c r="A177" s="4" t="s">
        <v>172</v>
      </c>
      <c r="B177" s="5">
        <v>45468</v>
      </c>
      <c r="C177" s="4" t="s">
        <v>173</v>
      </c>
      <c r="D177" s="4" t="s">
        <v>174</v>
      </c>
      <c r="E177" s="4" t="s">
        <v>119</v>
      </c>
      <c r="F177" s="4" t="s">
        <v>120</v>
      </c>
      <c r="G177" s="4" t="s">
        <v>21</v>
      </c>
      <c r="H177" s="19">
        <v>4</v>
      </c>
      <c r="I177" s="4">
        <v>89.99</v>
      </c>
      <c r="J177" s="4" t="s">
        <v>59</v>
      </c>
      <c r="K177" s="4" t="s">
        <v>37</v>
      </c>
      <c r="L177" s="4" t="s">
        <v>24</v>
      </c>
      <c r="M177" s="5">
        <v>45281</v>
      </c>
      <c r="N177" s="4">
        <v>359.96</v>
      </c>
    </row>
    <row r="178" spans="1:14" x14ac:dyDescent="0.3">
      <c r="A178" s="4" t="s">
        <v>178</v>
      </c>
      <c r="B178" s="5">
        <v>45471</v>
      </c>
      <c r="C178" s="4" t="s">
        <v>101</v>
      </c>
      <c r="D178" s="4" t="s">
        <v>102</v>
      </c>
      <c r="E178" s="4" t="s">
        <v>63</v>
      </c>
      <c r="F178" s="4" t="s">
        <v>64</v>
      </c>
      <c r="G178" s="4" t="s">
        <v>21</v>
      </c>
      <c r="H178" s="19">
        <v>4</v>
      </c>
      <c r="I178" s="4">
        <v>899.99</v>
      </c>
      <c r="J178" s="4" t="s">
        <v>28</v>
      </c>
      <c r="K178" s="4" t="s">
        <v>65</v>
      </c>
      <c r="L178" s="4" t="s">
        <v>29</v>
      </c>
      <c r="M178" s="5">
        <v>44993</v>
      </c>
      <c r="N178" s="4">
        <v>3599.96</v>
      </c>
    </row>
    <row r="179" spans="1:14" x14ac:dyDescent="0.3">
      <c r="A179" s="4" t="s">
        <v>221</v>
      </c>
      <c r="B179" s="5">
        <v>45517</v>
      </c>
      <c r="C179" s="4" t="s">
        <v>40</v>
      </c>
      <c r="D179" s="4" t="s">
        <v>41</v>
      </c>
      <c r="E179" s="4" t="s">
        <v>128</v>
      </c>
      <c r="F179" s="4" t="s">
        <v>129</v>
      </c>
      <c r="G179" s="4" t="s">
        <v>48</v>
      </c>
      <c r="H179" s="19">
        <v>4</v>
      </c>
      <c r="I179" s="4">
        <v>199.99</v>
      </c>
      <c r="J179" s="4" t="s">
        <v>22</v>
      </c>
      <c r="K179" s="4" t="s">
        <v>42</v>
      </c>
      <c r="L179" s="4" t="s">
        <v>38</v>
      </c>
      <c r="M179" s="5">
        <v>44458</v>
      </c>
      <c r="N179" s="4">
        <v>799.96</v>
      </c>
    </row>
    <row r="180" spans="1:14" x14ac:dyDescent="0.3">
      <c r="A180" s="4" t="s">
        <v>251</v>
      </c>
      <c r="B180" s="5">
        <v>45551</v>
      </c>
      <c r="C180" s="4" t="s">
        <v>156</v>
      </c>
      <c r="D180" s="4" t="s">
        <v>157</v>
      </c>
      <c r="E180" s="4" t="s">
        <v>128</v>
      </c>
      <c r="F180" s="4" t="s">
        <v>129</v>
      </c>
      <c r="G180" s="4" t="s">
        <v>48</v>
      </c>
      <c r="H180" s="19">
        <v>4</v>
      </c>
      <c r="I180" s="4">
        <v>199.99</v>
      </c>
      <c r="J180" s="4" t="s">
        <v>59</v>
      </c>
      <c r="K180" s="4" t="s">
        <v>65</v>
      </c>
      <c r="L180" s="4" t="s">
        <v>24</v>
      </c>
      <c r="M180" s="5">
        <v>44458</v>
      </c>
      <c r="N180" s="4">
        <v>799.96</v>
      </c>
    </row>
    <row r="181" spans="1:14" x14ac:dyDescent="0.3">
      <c r="A181" s="4" t="s">
        <v>263</v>
      </c>
      <c r="B181" s="5">
        <v>45566</v>
      </c>
      <c r="C181" s="4" t="s">
        <v>44</v>
      </c>
      <c r="D181" s="4" t="s">
        <v>45</v>
      </c>
      <c r="E181" s="4" t="s">
        <v>107</v>
      </c>
      <c r="F181" s="4" t="s">
        <v>108</v>
      </c>
      <c r="G181" s="4" t="s">
        <v>48</v>
      </c>
      <c r="H181" s="19">
        <v>4</v>
      </c>
      <c r="I181" s="4">
        <v>299.99</v>
      </c>
      <c r="J181" s="4" t="s">
        <v>22</v>
      </c>
      <c r="K181" s="4" t="s">
        <v>23</v>
      </c>
      <c r="L181" s="4" t="s">
        <v>29</v>
      </c>
      <c r="M181" s="5">
        <v>44460</v>
      </c>
      <c r="N181" s="4">
        <v>1199.96</v>
      </c>
    </row>
    <row r="182" spans="1:14" x14ac:dyDescent="0.3">
      <c r="A182" s="4" t="s">
        <v>291</v>
      </c>
      <c r="B182" s="5">
        <v>45617</v>
      </c>
      <c r="C182" s="4" t="s">
        <v>125</v>
      </c>
      <c r="D182" s="4" t="s">
        <v>126</v>
      </c>
      <c r="E182" s="4" t="s">
        <v>128</v>
      </c>
      <c r="F182" s="4" t="s">
        <v>129</v>
      </c>
      <c r="G182" s="4" t="s">
        <v>48</v>
      </c>
      <c r="H182" s="19">
        <v>4</v>
      </c>
      <c r="I182" s="4">
        <v>199.99</v>
      </c>
      <c r="J182" s="4" t="s">
        <v>59</v>
      </c>
      <c r="K182" s="4" t="s">
        <v>23</v>
      </c>
      <c r="L182" s="4" t="s">
        <v>29</v>
      </c>
      <c r="M182" s="5">
        <v>44427</v>
      </c>
      <c r="N182" s="4">
        <v>799.96</v>
      </c>
    </row>
    <row r="183" spans="1:14" x14ac:dyDescent="0.3">
      <c r="A183" s="4" t="s">
        <v>205</v>
      </c>
      <c r="B183" s="5">
        <v>45498</v>
      </c>
      <c r="C183" s="4" t="s">
        <v>198</v>
      </c>
      <c r="D183" s="4" t="s">
        <v>199</v>
      </c>
      <c r="E183" s="4" t="s">
        <v>19</v>
      </c>
      <c r="F183" s="4" t="s">
        <v>20</v>
      </c>
      <c r="G183" s="4" t="s">
        <v>21</v>
      </c>
      <c r="H183" s="19">
        <v>4</v>
      </c>
      <c r="I183" s="4">
        <v>249.99</v>
      </c>
      <c r="J183" s="4" t="s">
        <v>59</v>
      </c>
      <c r="K183" s="4" t="s">
        <v>23</v>
      </c>
      <c r="L183" s="4" t="s">
        <v>38</v>
      </c>
      <c r="M183" s="5">
        <v>45127</v>
      </c>
      <c r="N183" s="4">
        <v>999.96</v>
      </c>
    </row>
    <row r="184" spans="1:14" x14ac:dyDescent="0.3">
      <c r="A184" s="4" t="s">
        <v>211</v>
      </c>
      <c r="B184" s="5">
        <v>45504</v>
      </c>
      <c r="C184" s="4" t="s">
        <v>122</v>
      </c>
      <c r="D184" s="4" t="s">
        <v>123</v>
      </c>
      <c r="E184" s="4" t="s">
        <v>63</v>
      </c>
      <c r="F184" s="4" t="s">
        <v>64</v>
      </c>
      <c r="G184" s="4" t="s">
        <v>21</v>
      </c>
      <c r="H184" s="19">
        <v>4</v>
      </c>
      <c r="I184" s="4">
        <v>899.99</v>
      </c>
      <c r="J184" s="4" t="s">
        <v>59</v>
      </c>
      <c r="K184" s="4" t="s">
        <v>37</v>
      </c>
      <c r="L184" s="4" t="s">
        <v>38</v>
      </c>
      <c r="M184" s="5">
        <v>44523</v>
      </c>
      <c r="N184" s="4">
        <v>3599.96</v>
      </c>
    </row>
    <row r="185" spans="1:14" x14ac:dyDescent="0.3">
      <c r="A185" s="4" t="s">
        <v>218</v>
      </c>
      <c r="B185" s="5">
        <v>45517</v>
      </c>
      <c r="C185" s="4" t="s">
        <v>184</v>
      </c>
      <c r="D185" s="4" t="s">
        <v>185</v>
      </c>
      <c r="E185" s="4" t="s">
        <v>54</v>
      </c>
      <c r="F185" s="4" t="s">
        <v>55</v>
      </c>
      <c r="G185" s="4" t="s">
        <v>21</v>
      </c>
      <c r="H185" s="19">
        <v>4</v>
      </c>
      <c r="I185" s="4">
        <v>149.99</v>
      </c>
      <c r="J185" s="4" t="s">
        <v>59</v>
      </c>
      <c r="K185" s="4" t="s">
        <v>37</v>
      </c>
      <c r="L185" s="4" t="s">
        <v>29</v>
      </c>
      <c r="M185" s="5">
        <v>44820</v>
      </c>
      <c r="N185" s="4">
        <v>599.96</v>
      </c>
    </row>
    <row r="186" spans="1:14" x14ac:dyDescent="0.3">
      <c r="A186" s="4" t="s">
        <v>247</v>
      </c>
      <c r="B186" s="5">
        <v>45550</v>
      </c>
      <c r="C186" s="4" t="s">
        <v>248</v>
      </c>
      <c r="D186" s="4" t="s">
        <v>249</v>
      </c>
      <c r="E186" s="4" t="s">
        <v>54</v>
      </c>
      <c r="F186" s="4" t="s">
        <v>55</v>
      </c>
      <c r="G186" s="4" t="s">
        <v>21</v>
      </c>
      <c r="H186" s="19">
        <v>4</v>
      </c>
      <c r="I186" s="4">
        <v>149.99</v>
      </c>
      <c r="J186" s="4" t="s">
        <v>22</v>
      </c>
      <c r="K186" s="4" t="s">
        <v>42</v>
      </c>
      <c r="L186" s="4" t="s">
        <v>24</v>
      </c>
      <c r="M186" s="5">
        <v>44909</v>
      </c>
      <c r="N186" s="4">
        <v>599.96</v>
      </c>
    </row>
    <row r="187" spans="1:14" x14ac:dyDescent="0.3">
      <c r="A187" s="4" t="s">
        <v>321</v>
      </c>
      <c r="B187" s="5">
        <v>45654</v>
      </c>
      <c r="C187" s="4" t="s">
        <v>122</v>
      </c>
      <c r="D187" s="4" t="s">
        <v>123</v>
      </c>
      <c r="E187" s="4" t="s">
        <v>128</v>
      </c>
      <c r="F187" s="4" t="s">
        <v>129</v>
      </c>
      <c r="G187" s="4" t="s">
        <v>48</v>
      </c>
      <c r="H187" s="19">
        <v>4</v>
      </c>
      <c r="I187" s="4">
        <v>199.99</v>
      </c>
      <c r="J187" s="4" t="s">
        <v>28</v>
      </c>
      <c r="K187" s="4" t="s">
        <v>23</v>
      </c>
      <c r="L187" s="4" t="s">
        <v>24</v>
      </c>
      <c r="M187" s="5">
        <v>44523</v>
      </c>
      <c r="N187" s="4">
        <v>799.96</v>
      </c>
    </row>
    <row r="188" spans="1:14" x14ac:dyDescent="0.3">
      <c r="A188" s="4" t="s">
        <v>256</v>
      </c>
      <c r="B188" s="5">
        <v>45554</v>
      </c>
      <c r="C188" s="4" t="s">
        <v>74</v>
      </c>
      <c r="D188" s="4" t="s">
        <v>75</v>
      </c>
      <c r="E188" s="4" t="s">
        <v>82</v>
      </c>
      <c r="F188" s="4" t="s">
        <v>83</v>
      </c>
      <c r="G188" s="4" t="s">
        <v>21</v>
      </c>
      <c r="H188" s="19">
        <v>4</v>
      </c>
      <c r="I188" s="4">
        <v>699.99</v>
      </c>
      <c r="J188" s="4" t="s">
        <v>36</v>
      </c>
      <c r="K188" s="4" t="s">
        <v>37</v>
      </c>
      <c r="L188" s="4" t="s">
        <v>24</v>
      </c>
      <c r="M188" s="5">
        <v>44618</v>
      </c>
      <c r="N188" s="4">
        <v>2799.96</v>
      </c>
    </row>
    <row r="189" spans="1:14" x14ac:dyDescent="0.3">
      <c r="A189" s="4" t="s">
        <v>341</v>
      </c>
      <c r="B189" s="5">
        <v>45673</v>
      </c>
      <c r="C189" s="4" t="s">
        <v>228</v>
      </c>
      <c r="D189" s="4" t="s">
        <v>229</v>
      </c>
      <c r="E189" s="4" t="s">
        <v>128</v>
      </c>
      <c r="F189" s="4" t="s">
        <v>129</v>
      </c>
      <c r="G189" s="4" t="s">
        <v>48</v>
      </c>
      <c r="H189" s="19">
        <v>4</v>
      </c>
      <c r="I189" s="4">
        <v>199.99</v>
      </c>
      <c r="J189" s="4" t="s">
        <v>59</v>
      </c>
      <c r="K189" s="4" t="s">
        <v>37</v>
      </c>
      <c r="L189" s="4" t="s">
        <v>38</v>
      </c>
      <c r="M189" s="5">
        <v>44544</v>
      </c>
      <c r="N189" s="4">
        <v>799.96</v>
      </c>
    </row>
    <row r="190" spans="1:14" x14ac:dyDescent="0.3">
      <c r="A190" s="4" t="s">
        <v>265</v>
      </c>
      <c r="B190" s="5">
        <v>45572</v>
      </c>
      <c r="C190" s="4" t="s">
        <v>236</v>
      </c>
      <c r="D190" s="4" t="s">
        <v>237</v>
      </c>
      <c r="E190" s="4" t="s">
        <v>54</v>
      </c>
      <c r="F190" s="4" t="s">
        <v>55</v>
      </c>
      <c r="G190" s="4" t="s">
        <v>21</v>
      </c>
      <c r="H190" s="19">
        <v>4</v>
      </c>
      <c r="I190" s="4">
        <v>149.99</v>
      </c>
      <c r="J190" s="4" t="s">
        <v>28</v>
      </c>
      <c r="K190" s="4" t="s">
        <v>42</v>
      </c>
      <c r="L190" s="4" t="s">
        <v>29</v>
      </c>
      <c r="M190" s="5">
        <v>45076</v>
      </c>
      <c r="N190" s="4">
        <v>599.96</v>
      </c>
    </row>
    <row r="191" spans="1:14" x14ac:dyDescent="0.3">
      <c r="A191" s="4" t="s">
        <v>271</v>
      </c>
      <c r="B191" s="5">
        <v>45581</v>
      </c>
      <c r="C191" s="4" t="s">
        <v>173</v>
      </c>
      <c r="D191" s="4" t="s">
        <v>174</v>
      </c>
      <c r="E191" s="4" t="s">
        <v>82</v>
      </c>
      <c r="F191" s="4" t="s">
        <v>83</v>
      </c>
      <c r="G191" s="4" t="s">
        <v>21</v>
      </c>
      <c r="H191" s="19">
        <v>4</v>
      </c>
      <c r="I191" s="4">
        <v>699.99</v>
      </c>
      <c r="J191" s="4" t="s">
        <v>28</v>
      </c>
      <c r="K191" s="4" t="s">
        <v>23</v>
      </c>
      <c r="L191" s="4" t="s">
        <v>24</v>
      </c>
      <c r="M191" s="5">
        <v>45385</v>
      </c>
      <c r="N191" s="4">
        <v>2799.96</v>
      </c>
    </row>
    <row r="192" spans="1:14" x14ac:dyDescent="0.3">
      <c r="A192" s="4" t="s">
        <v>368</v>
      </c>
      <c r="B192" s="5">
        <v>45711</v>
      </c>
      <c r="C192" s="4" t="s">
        <v>327</v>
      </c>
      <c r="D192" s="4" t="s">
        <v>328</v>
      </c>
      <c r="E192" s="4" t="s">
        <v>46</v>
      </c>
      <c r="F192" s="4" t="s">
        <v>47</v>
      </c>
      <c r="G192" s="4" t="s">
        <v>48</v>
      </c>
      <c r="H192" s="19">
        <v>4</v>
      </c>
      <c r="I192" s="4">
        <v>149.99</v>
      </c>
      <c r="J192" s="4" t="s">
        <v>36</v>
      </c>
      <c r="K192" s="4" t="s">
        <v>42</v>
      </c>
      <c r="L192" s="4" t="s">
        <v>29</v>
      </c>
      <c r="M192" s="5">
        <v>44412</v>
      </c>
      <c r="N192" s="4">
        <v>599.96</v>
      </c>
    </row>
    <row r="193" spans="1:14" x14ac:dyDescent="0.3">
      <c r="A193" s="4" t="s">
        <v>380</v>
      </c>
      <c r="B193" s="5">
        <v>45724</v>
      </c>
      <c r="C193" s="4" t="s">
        <v>57</v>
      </c>
      <c r="D193" s="4" t="s">
        <v>58</v>
      </c>
      <c r="E193" s="4" t="s">
        <v>46</v>
      </c>
      <c r="F193" s="4" t="s">
        <v>47</v>
      </c>
      <c r="G193" s="4" t="s">
        <v>48</v>
      </c>
      <c r="H193" s="19">
        <v>4</v>
      </c>
      <c r="I193" s="4">
        <v>149.99</v>
      </c>
      <c r="J193" s="4" t="s">
        <v>22</v>
      </c>
      <c r="K193" s="4" t="s">
        <v>23</v>
      </c>
      <c r="L193" s="4" t="s">
        <v>38</v>
      </c>
      <c r="M193" s="5">
        <v>45263</v>
      </c>
      <c r="N193" s="4">
        <v>599.96</v>
      </c>
    </row>
    <row r="194" spans="1:14" x14ac:dyDescent="0.3">
      <c r="A194" s="4" t="s">
        <v>286</v>
      </c>
      <c r="B194" s="5">
        <v>45607</v>
      </c>
      <c r="C194" s="4" t="s">
        <v>101</v>
      </c>
      <c r="D194" s="4" t="s">
        <v>102</v>
      </c>
      <c r="E194" s="4" t="s">
        <v>19</v>
      </c>
      <c r="F194" s="4" t="s">
        <v>20</v>
      </c>
      <c r="G194" s="4" t="s">
        <v>21</v>
      </c>
      <c r="H194" s="19">
        <v>4</v>
      </c>
      <c r="I194" s="4">
        <v>249.99</v>
      </c>
      <c r="J194" s="4" t="s">
        <v>28</v>
      </c>
      <c r="K194" s="4" t="s">
        <v>52</v>
      </c>
      <c r="L194" s="4" t="s">
        <v>38</v>
      </c>
      <c r="M194" s="5">
        <v>44659</v>
      </c>
      <c r="N194" s="4">
        <v>999.96</v>
      </c>
    </row>
    <row r="195" spans="1:14" x14ac:dyDescent="0.3">
      <c r="A195" s="4" t="s">
        <v>387</v>
      </c>
      <c r="B195" s="5">
        <v>45740</v>
      </c>
      <c r="C195" s="4" t="s">
        <v>388</v>
      </c>
      <c r="D195" s="4" t="s">
        <v>389</v>
      </c>
      <c r="E195" s="4" t="s">
        <v>46</v>
      </c>
      <c r="F195" s="4" t="s">
        <v>47</v>
      </c>
      <c r="G195" s="4" t="s">
        <v>48</v>
      </c>
      <c r="H195" s="19">
        <v>4</v>
      </c>
      <c r="I195" s="4">
        <v>149.99</v>
      </c>
      <c r="J195" s="4" t="s">
        <v>36</v>
      </c>
      <c r="K195" s="4" t="s">
        <v>52</v>
      </c>
      <c r="L195" s="4" t="s">
        <v>38</v>
      </c>
      <c r="M195" s="5">
        <v>44560</v>
      </c>
      <c r="N195" s="4">
        <v>599.96</v>
      </c>
    </row>
    <row r="196" spans="1:14" x14ac:dyDescent="0.3">
      <c r="A196" s="4" t="s">
        <v>302</v>
      </c>
      <c r="B196" s="5">
        <v>45629</v>
      </c>
      <c r="C196" s="4" t="s">
        <v>254</v>
      </c>
      <c r="D196" s="4" t="s">
        <v>255</v>
      </c>
      <c r="E196" s="4" t="s">
        <v>19</v>
      </c>
      <c r="F196" s="4" t="s">
        <v>20</v>
      </c>
      <c r="G196" s="4" t="s">
        <v>21</v>
      </c>
      <c r="H196" s="19">
        <v>4</v>
      </c>
      <c r="I196" s="4">
        <v>249.99</v>
      </c>
      <c r="J196" s="4" t="s">
        <v>36</v>
      </c>
      <c r="K196" s="4" t="s">
        <v>65</v>
      </c>
      <c r="L196" s="4" t="s">
        <v>29</v>
      </c>
      <c r="M196" s="5">
        <v>45098</v>
      </c>
      <c r="N196" s="4">
        <v>999.96</v>
      </c>
    </row>
    <row r="197" spans="1:14" x14ac:dyDescent="0.3">
      <c r="A197" s="4" t="s">
        <v>303</v>
      </c>
      <c r="B197" s="5">
        <v>45630</v>
      </c>
      <c r="C197" s="4" t="s">
        <v>50</v>
      </c>
      <c r="D197" s="4" t="s">
        <v>51</v>
      </c>
      <c r="E197" s="4" t="s">
        <v>82</v>
      </c>
      <c r="F197" s="4" t="s">
        <v>83</v>
      </c>
      <c r="G197" s="4" t="s">
        <v>21</v>
      </c>
      <c r="H197" s="19">
        <v>4</v>
      </c>
      <c r="I197" s="4">
        <v>699.99</v>
      </c>
      <c r="J197" s="4" t="s">
        <v>28</v>
      </c>
      <c r="K197" s="4" t="s">
        <v>42</v>
      </c>
      <c r="L197" s="4" t="s">
        <v>29</v>
      </c>
      <c r="M197" s="5">
        <v>44703</v>
      </c>
      <c r="N197" s="4">
        <v>2799.96</v>
      </c>
    </row>
    <row r="198" spans="1:14" x14ac:dyDescent="0.3">
      <c r="A198" s="4" t="s">
        <v>334</v>
      </c>
      <c r="B198" s="5">
        <v>45668</v>
      </c>
      <c r="C198" s="4" t="s">
        <v>140</v>
      </c>
      <c r="D198" s="4" t="s">
        <v>141</v>
      </c>
      <c r="E198" s="4" t="s">
        <v>54</v>
      </c>
      <c r="F198" s="4" t="s">
        <v>55</v>
      </c>
      <c r="G198" s="4" t="s">
        <v>21</v>
      </c>
      <c r="H198" s="19">
        <v>4</v>
      </c>
      <c r="I198" s="4">
        <v>149.99</v>
      </c>
      <c r="J198" s="4" t="s">
        <v>59</v>
      </c>
      <c r="K198" s="4" t="s">
        <v>65</v>
      </c>
      <c r="L198" s="4" t="s">
        <v>38</v>
      </c>
      <c r="M198" s="5">
        <v>44536</v>
      </c>
      <c r="N198" s="4">
        <v>599.96</v>
      </c>
    </row>
    <row r="199" spans="1:14" x14ac:dyDescent="0.3">
      <c r="A199" s="4" t="s">
        <v>338</v>
      </c>
      <c r="B199" s="5">
        <v>45671</v>
      </c>
      <c r="C199" s="4" t="s">
        <v>160</v>
      </c>
      <c r="D199" s="4" t="s">
        <v>161</v>
      </c>
      <c r="E199" s="4" t="s">
        <v>19</v>
      </c>
      <c r="F199" s="4" t="s">
        <v>20</v>
      </c>
      <c r="G199" s="4" t="s">
        <v>21</v>
      </c>
      <c r="H199" s="19">
        <v>4</v>
      </c>
      <c r="I199" s="4">
        <v>249.99</v>
      </c>
      <c r="J199" s="4" t="s">
        <v>28</v>
      </c>
      <c r="K199" s="4" t="s">
        <v>42</v>
      </c>
      <c r="L199" s="4" t="s">
        <v>29</v>
      </c>
      <c r="M199" s="5">
        <v>44460</v>
      </c>
      <c r="N199" s="4">
        <v>999.96</v>
      </c>
    </row>
    <row r="200" spans="1:14" x14ac:dyDescent="0.3">
      <c r="A200" s="4" t="s">
        <v>346</v>
      </c>
      <c r="B200" s="5">
        <v>45683</v>
      </c>
      <c r="C200" s="4" t="s">
        <v>50</v>
      </c>
      <c r="D200" s="4" t="s">
        <v>51</v>
      </c>
      <c r="E200" s="4" t="s">
        <v>19</v>
      </c>
      <c r="F200" s="4" t="s">
        <v>20</v>
      </c>
      <c r="G200" s="4" t="s">
        <v>21</v>
      </c>
      <c r="H200" s="19">
        <v>4</v>
      </c>
      <c r="I200" s="4">
        <v>249.99</v>
      </c>
      <c r="J200" s="4" t="s">
        <v>59</v>
      </c>
      <c r="K200" s="4" t="s">
        <v>23</v>
      </c>
      <c r="L200" s="4" t="s">
        <v>29</v>
      </c>
      <c r="M200" s="5">
        <v>45217</v>
      </c>
      <c r="N200" s="4">
        <v>999.96</v>
      </c>
    </row>
    <row r="201" spans="1:14" x14ac:dyDescent="0.3">
      <c r="A201" s="4" t="s">
        <v>347</v>
      </c>
      <c r="B201" s="5">
        <v>45686</v>
      </c>
      <c r="C201" s="4" t="s">
        <v>254</v>
      </c>
      <c r="D201" s="4" t="s">
        <v>255</v>
      </c>
      <c r="E201" s="4" t="s">
        <v>63</v>
      </c>
      <c r="F201" s="4" t="s">
        <v>64</v>
      </c>
      <c r="G201" s="4" t="s">
        <v>21</v>
      </c>
      <c r="H201" s="19">
        <v>4</v>
      </c>
      <c r="I201" s="4">
        <v>899.99</v>
      </c>
      <c r="J201" s="4" t="s">
        <v>36</v>
      </c>
      <c r="K201" s="4" t="s">
        <v>23</v>
      </c>
      <c r="L201" s="4" t="s">
        <v>24</v>
      </c>
      <c r="M201" s="5">
        <v>44734</v>
      </c>
      <c r="N201" s="4">
        <v>3599.96</v>
      </c>
    </row>
    <row r="202" spans="1:14" x14ac:dyDescent="0.3">
      <c r="A202" s="4" t="s">
        <v>350</v>
      </c>
      <c r="B202" s="5">
        <v>45688</v>
      </c>
      <c r="C202" s="4" t="s">
        <v>67</v>
      </c>
      <c r="D202" s="4" t="s">
        <v>68</v>
      </c>
      <c r="E202" s="4" t="s">
        <v>82</v>
      </c>
      <c r="F202" s="4" t="s">
        <v>83</v>
      </c>
      <c r="G202" s="4" t="s">
        <v>21</v>
      </c>
      <c r="H202" s="19">
        <v>4</v>
      </c>
      <c r="I202" s="4">
        <v>699.99</v>
      </c>
      <c r="J202" s="4" t="s">
        <v>59</v>
      </c>
      <c r="K202" s="4" t="s">
        <v>52</v>
      </c>
      <c r="L202" s="4" t="s">
        <v>29</v>
      </c>
      <c r="M202" s="5">
        <v>44692</v>
      </c>
      <c r="N202" s="4">
        <v>2799.96</v>
      </c>
    </row>
    <row r="203" spans="1:14" x14ac:dyDescent="0.3">
      <c r="A203" s="4" t="s">
        <v>53</v>
      </c>
      <c r="B203" s="5">
        <v>45403</v>
      </c>
      <c r="C203" s="4" t="s">
        <v>50</v>
      </c>
      <c r="D203" s="4" t="s">
        <v>51</v>
      </c>
      <c r="E203" s="4" t="s">
        <v>54</v>
      </c>
      <c r="F203" s="4" t="s">
        <v>55</v>
      </c>
      <c r="G203" s="4" t="s">
        <v>21</v>
      </c>
      <c r="H203" s="19">
        <v>5</v>
      </c>
      <c r="I203" s="4">
        <v>149.99</v>
      </c>
      <c r="J203" s="4" t="s">
        <v>28</v>
      </c>
      <c r="K203" s="4" t="s">
        <v>23</v>
      </c>
      <c r="L203" s="4" t="s">
        <v>38</v>
      </c>
      <c r="M203" s="5">
        <v>44418</v>
      </c>
      <c r="N203" s="4">
        <v>749.95</v>
      </c>
    </row>
    <row r="204" spans="1:14" x14ac:dyDescent="0.3">
      <c r="A204" s="4" t="s">
        <v>97</v>
      </c>
      <c r="B204" s="5">
        <v>45412</v>
      </c>
      <c r="C204" s="4" t="s">
        <v>98</v>
      </c>
      <c r="D204" s="4" t="s">
        <v>99</v>
      </c>
      <c r="E204" s="4" t="s">
        <v>82</v>
      </c>
      <c r="F204" s="4" t="s">
        <v>83</v>
      </c>
      <c r="G204" s="4" t="s">
        <v>21</v>
      </c>
      <c r="H204" s="19">
        <v>5</v>
      </c>
      <c r="I204" s="4">
        <v>699.99</v>
      </c>
      <c r="J204" s="4" t="s">
        <v>22</v>
      </c>
      <c r="K204" s="4" t="s">
        <v>52</v>
      </c>
      <c r="L204" s="4" t="s">
        <v>24</v>
      </c>
      <c r="M204" s="5">
        <v>45167</v>
      </c>
      <c r="N204" s="4">
        <v>3499.95</v>
      </c>
    </row>
    <row r="205" spans="1:14" x14ac:dyDescent="0.3">
      <c r="A205" s="4" t="s">
        <v>183</v>
      </c>
      <c r="B205" s="5">
        <v>45476</v>
      </c>
      <c r="C205" s="4" t="s">
        <v>184</v>
      </c>
      <c r="D205" s="4" t="s">
        <v>185</v>
      </c>
      <c r="E205" s="4" t="s">
        <v>116</v>
      </c>
      <c r="F205" s="4" t="s">
        <v>117</v>
      </c>
      <c r="G205" s="4" t="s">
        <v>35</v>
      </c>
      <c r="H205" s="19">
        <v>5</v>
      </c>
      <c r="I205" s="4">
        <v>79.989999999999995</v>
      </c>
      <c r="J205" s="4" t="s">
        <v>59</v>
      </c>
      <c r="K205" s="4" t="s">
        <v>23</v>
      </c>
      <c r="L205" s="4" t="s">
        <v>24</v>
      </c>
      <c r="M205" s="5">
        <v>44981</v>
      </c>
      <c r="N205" s="4">
        <v>399.95</v>
      </c>
    </row>
    <row r="206" spans="1:14" x14ac:dyDescent="0.3">
      <c r="A206" s="4" t="s">
        <v>285</v>
      </c>
      <c r="B206" s="5">
        <v>45607</v>
      </c>
      <c r="C206" s="4" t="s">
        <v>17</v>
      </c>
      <c r="D206" s="4" t="s">
        <v>18</v>
      </c>
      <c r="E206" s="4" t="s">
        <v>33</v>
      </c>
      <c r="F206" s="4" t="s">
        <v>34</v>
      </c>
      <c r="G206" s="4" t="s">
        <v>35</v>
      </c>
      <c r="H206" s="19">
        <v>5</v>
      </c>
      <c r="I206" s="4">
        <v>59.99</v>
      </c>
      <c r="J206" s="4" t="s">
        <v>36</v>
      </c>
      <c r="K206" s="4" t="s">
        <v>52</v>
      </c>
      <c r="L206" s="4" t="s">
        <v>29</v>
      </c>
      <c r="M206" s="5">
        <v>44694</v>
      </c>
      <c r="N206" s="4">
        <v>299.95</v>
      </c>
    </row>
    <row r="207" spans="1:14" x14ac:dyDescent="0.3">
      <c r="A207" s="4" t="s">
        <v>43</v>
      </c>
      <c r="B207" s="5">
        <v>45400</v>
      </c>
      <c r="C207" s="4" t="s">
        <v>44</v>
      </c>
      <c r="D207" s="4" t="s">
        <v>45</v>
      </c>
      <c r="E207" s="4" t="s">
        <v>46</v>
      </c>
      <c r="F207" s="4" t="s">
        <v>47</v>
      </c>
      <c r="G207" s="4" t="s">
        <v>48</v>
      </c>
      <c r="H207" s="19">
        <v>5</v>
      </c>
      <c r="I207" s="4">
        <v>149.99</v>
      </c>
      <c r="J207" s="4" t="s">
        <v>28</v>
      </c>
      <c r="K207" s="4" t="s">
        <v>42</v>
      </c>
      <c r="L207" s="4" t="s">
        <v>29</v>
      </c>
      <c r="M207" s="5">
        <v>45295</v>
      </c>
      <c r="N207" s="4">
        <v>749.95</v>
      </c>
    </row>
    <row r="208" spans="1:14" x14ac:dyDescent="0.3">
      <c r="A208" s="4" t="s">
        <v>344</v>
      </c>
      <c r="B208" s="5">
        <v>45676</v>
      </c>
      <c r="C208" s="4" t="s">
        <v>131</v>
      </c>
      <c r="D208" s="4" t="s">
        <v>132</v>
      </c>
      <c r="E208" s="4" t="s">
        <v>33</v>
      </c>
      <c r="F208" s="4" t="s">
        <v>34</v>
      </c>
      <c r="G208" s="4" t="s">
        <v>35</v>
      </c>
      <c r="H208" s="19">
        <v>5</v>
      </c>
      <c r="I208" s="4">
        <v>59.99</v>
      </c>
      <c r="J208" s="4" t="s">
        <v>59</v>
      </c>
      <c r="K208" s="4" t="s">
        <v>65</v>
      </c>
      <c r="L208" s="4" t="s">
        <v>24</v>
      </c>
      <c r="M208" s="5">
        <v>44642</v>
      </c>
      <c r="N208" s="4">
        <v>299.95</v>
      </c>
    </row>
    <row r="209" spans="1:14" x14ac:dyDescent="0.3">
      <c r="A209" s="4" t="s">
        <v>109</v>
      </c>
      <c r="B209" s="5">
        <v>45422</v>
      </c>
      <c r="C209" s="4" t="s">
        <v>110</v>
      </c>
      <c r="D209" s="4" t="s">
        <v>111</v>
      </c>
      <c r="E209" s="4" t="s">
        <v>19</v>
      </c>
      <c r="F209" s="4" t="s">
        <v>20</v>
      </c>
      <c r="G209" s="4" t="s">
        <v>21</v>
      </c>
      <c r="H209" s="19">
        <v>5</v>
      </c>
      <c r="I209" s="4">
        <v>249.99</v>
      </c>
      <c r="J209" s="4" t="s">
        <v>28</v>
      </c>
      <c r="K209" s="4" t="s">
        <v>52</v>
      </c>
      <c r="L209" s="4" t="s">
        <v>38</v>
      </c>
      <c r="M209" s="5">
        <v>44525</v>
      </c>
      <c r="N209" s="4">
        <v>1249.95</v>
      </c>
    </row>
    <row r="210" spans="1:14" x14ac:dyDescent="0.3">
      <c r="A210" s="4" t="s">
        <v>356</v>
      </c>
      <c r="B210" s="5">
        <v>45696</v>
      </c>
      <c r="C210" s="4" t="s">
        <v>152</v>
      </c>
      <c r="D210" s="4" t="s">
        <v>153</v>
      </c>
      <c r="E210" s="4" t="s">
        <v>33</v>
      </c>
      <c r="F210" s="4" t="s">
        <v>34</v>
      </c>
      <c r="G210" s="4" t="s">
        <v>35</v>
      </c>
      <c r="H210" s="19">
        <v>5</v>
      </c>
      <c r="I210" s="4">
        <v>59.99</v>
      </c>
      <c r="J210" s="4" t="s">
        <v>59</v>
      </c>
      <c r="K210" s="4" t="s">
        <v>23</v>
      </c>
      <c r="L210" s="4" t="s">
        <v>38</v>
      </c>
      <c r="M210" s="5">
        <v>45177</v>
      </c>
      <c r="N210" s="4">
        <v>299.95</v>
      </c>
    </row>
    <row r="211" spans="1:14" x14ac:dyDescent="0.3">
      <c r="A211" s="4" t="s">
        <v>118</v>
      </c>
      <c r="B211" s="5">
        <v>45424</v>
      </c>
      <c r="C211" s="4" t="s">
        <v>101</v>
      </c>
      <c r="D211" s="4" t="s">
        <v>102</v>
      </c>
      <c r="E211" s="4" t="s">
        <v>119</v>
      </c>
      <c r="F211" s="4" t="s">
        <v>120</v>
      </c>
      <c r="G211" s="4" t="s">
        <v>21</v>
      </c>
      <c r="H211" s="19">
        <v>5</v>
      </c>
      <c r="I211" s="4">
        <v>89.99</v>
      </c>
      <c r="J211" s="4" t="s">
        <v>22</v>
      </c>
      <c r="K211" s="4" t="s">
        <v>42</v>
      </c>
      <c r="L211" s="4" t="s">
        <v>29</v>
      </c>
      <c r="M211" s="5">
        <v>44919</v>
      </c>
      <c r="N211" s="4">
        <v>449.95</v>
      </c>
    </row>
    <row r="212" spans="1:14" x14ac:dyDescent="0.3">
      <c r="A212" s="4" t="s">
        <v>375</v>
      </c>
      <c r="B212" s="5">
        <v>45721</v>
      </c>
      <c r="C212" s="4" t="s">
        <v>77</v>
      </c>
      <c r="D212" s="4" t="s">
        <v>78</v>
      </c>
      <c r="E212" s="4" t="s">
        <v>33</v>
      </c>
      <c r="F212" s="4" t="s">
        <v>34</v>
      </c>
      <c r="G212" s="4" t="s">
        <v>35</v>
      </c>
      <c r="H212" s="19">
        <v>5</v>
      </c>
      <c r="I212" s="4">
        <v>59.99</v>
      </c>
      <c r="J212" s="4" t="s">
        <v>22</v>
      </c>
      <c r="K212" s="4" t="s">
        <v>52</v>
      </c>
      <c r="L212" s="4" t="s">
        <v>29</v>
      </c>
      <c r="M212" s="5">
        <v>45291</v>
      </c>
      <c r="N212" s="4">
        <v>299.95</v>
      </c>
    </row>
    <row r="213" spans="1:14" x14ac:dyDescent="0.3">
      <c r="A213" s="4" t="s">
        <v>72</v>
      </c>
      <c r="B213" s="5">
        <v>45408</v>
      </c>
      <c r="C213" s="4" t="s">
        <v>40</v>
      </c>
      <c r="D213" s="4" t="s">
        <v>41</v>
      </c>
      <c r="E213" s="4" t="s">
        <v>46</v>
      </c>
      <c r="F213" s="4" t="s">
        <v>47</v>
      </c>
      <c r="G213" s="4" t="s">
        <v>48</v>
      </c>
      <c r="H213" s="19">
        <v>5</v>
      </c>
      <c r="I213" s="4">
        <v>149.99</v>
      </c>
      <c r="J213" s="4" t="s">
        <v>59</v>
      </c>
      <c r="K213" s="4" t="s">
        <v>42</v>
      </c>
      <c r="L213" s="4" t="s">
        <v>24</v>
      </c>
      <c r="M213" s="5">
        <v>44830</v>
      </c>
      <c r="N213" s="4">
        <v>749.95</v>
      </c>
    </row>
    <row r="214" spans="1:14" x14ac:dyDescent="0.3">
      <c r="A214" s="4" t="s">
        <v>112</v>
      </c>
      <c r="B214" s="5">
        <v>45424</v>
      </c>
      <c r="C214" s="4" t="s">
        <v>70</v>
      </c>
      <c r="D214" s="4" t="s">
        <v>71</v>
      </c>
      <c r="E214" s="4" t="s">
        <v>107</v>
      </c>
      <c r="F214" s="4" t="s">
        <v>108</v>
      </c>
      <c r="G214" s="4" t="s">
        <v>48</v>
      </c>
      <c r="H214" s="19">
        <v>5</v>
      </c>
      <c r="I214" s="4">
        <v>299.99</v>
      </c>
      <c r="J214" s="4" t="s">
        <v>36</v>
      </c>
      <c r="K214" s="4" t="s">
        <v>65</v>
      </c>
      <c r="L214" s="4" t="s">
        <v>24</v>
      </c>
      <c r="M214" s="5">
        <v>45168</v>
      </c>
      <c r="N214" s="4">
        <v>1499.95</v>
      </c>
    </row>
    <row r="215" spans="1:14" x14ac:dyDescent="0.3">
      <c r="A215" s="4" t="s">
        <v>127</v>
      </c>
      <c r="B215" s="5">
        <v>45427</v>
      </c>
      <c r="C215" s="4" t="s">
        <v>57</v>
      </c>
      <c r="D215" s="4" t="s">
        <v>58</v>
      </c>
      <c r="E215" s="4" t="s">
        <v>128</v>
      </c>
      <c r="F215" s="4" t="s">
        <v>129</v>
      </c>
      <c r="G215" s="4" t="s">
        <v>48</v>
      </c>
      <c r="H215" s="19">
        <v>5</v>
      </c>
      <c r="I215" s="4">
        <v>199.99</v>
      </c>
      <c r="J215" s="4" t="s">
        <v>22</v>
      </c>
      <c r="K215" s="4" t="s">
        <v>37</v>
      </c>
      <c r="L215" s="4" t="s">
        <v>38</v>
      </c>
      <c r="M215" s="5">
        <v>44412</v>
      </c>
      <c r="N215" s="4">
        <v>999.95</v>
      </c>
    </row>
    <row r="216" spans="1:14" x14ac:dyDescent="0.3">
      <c r="A216" s="4" t="s">
        <v>142</v>
      </c>
      <c r="B216" s="5">
        <v>45440</v>
      </c>
      <c r="C216" s="4" t="s">
        <v>143</v>
      </c>
      <c r="D216" s="4" t="s">
        <v>144</v>
      </c>
      <c r="E216" s="4" t="s">
        <v>82</v>
      </c>
      <c r="F216" s="4" t="s">
        <v>83</v>
      </c>
      <c r="G216" s="4" t="s">
        <v>21</v>
      </c>
      <c r="H216" s="19">
        <v>5</v>
      </c>
      <c r="I216" s="4">
        <v>699.99</v>
      </c>
      <c r="J216" s="4" t="s">
        <v>36</v>
      </c>
      <c r="K216" s="4" t="s">
        <v>52</v>
      </c>
      <c r="L216" s="4" t="s">
        <v>38</v>
      </c>
      <c r="M216" s="5">
        <v>44407</v>
      </c>
      <c r="N216" s="4">
        <v>3499.95</v>
      </c>
    </row>
    <row r="217" spans="1:14" x14ac:dyDescent="0.3">
      <c r="A217" s="4" t="s">
        <v>155</v>
      </c>
      <c r="B217" s="5">
        <v>45446</v>
      </c>
      <c r="C217" s="4" t="s">
        <v>156</v>
      </c>
      <c r="D217" s="4" t="s">
        <v>157</v>
      </c>
      <c r="E217" s="4" t="s">
        <v>119</v>
      </c>
      <c r="F217" s="4" t="s">
        <v>120</v>
      </c>
      <c r="G217" s="4" t="s">
        <v>21</v>
      </c>
      <c r="H217" s="19">
        <v>5</v>
      </c>
      <c r="I217" s="4">
        <v>89.99</v>
      </c>
      <c r="J217" s="4" t="s">
        <v>28</v>
      </c>
      <c r="K217" s="4" t="s">
        <v>65</v>
      </c>
      <c r="L217" s="4" t="s">
        <v>38</v>
      </c>
      <c r="M217" s="5">
        <v>44587</v>
      </c>
      <c r="N217" s="4">
        <v>449.95</v>
      </c>
    </row>
    <row r="218" spans="1:14" x14ac:dyDescent="0.3">
      <c r="A218" s="4" t="s">
        <v>217</v>
      </c>
      <c r="B218" s="5">
        <v>45515</v>
      </c>
      <c r="C218" s="4" t="s">
        <v>88</v>
      </c>
      <c r="D218" s="4" t="s">
        <v>89</v>
      </c>
      <c r="E218" s="4" t="s">
        <v>107</v>
      </c>
      <c r="F218" s="4" t="s">
        <v>108</v>
      </c>
      <c r="G218" s="4" t="s">
        <v>48</v>
      </c>
      <c r="H218" s="19">
        <v>5</v>
      </c>
      <c r="I218" s="4">
        <v>299.99</v>
      </c>
      <c r="J218" s="4" t="s">
        <v>28</v>
      </c>
      <c r="K218" s="4" t="s">
        <v>42</v>
      </c>
      <c r="L218" s="4" t="s">
        <v>24</v>
      </c>
      <c r="M218" s="5">
        <v>44965</v>
      </c>
      <c r="N218" s="4">
        <v>1499.95</v>
      </c>
    </row>
    <row r="219" spans="1:14" x14ac:dyDescent="0.3">
      <c r="A219" s="4" t="s">
        <v>158</v>
      </c>
      <c r="B219" s="5">
        <v>45449</v>
      </c>
      <c r="C219" s="4" t="s">
        <v>26</v>
      </c>
      <c r="D219" s="4" t="s">
        <v>27</v>
      </c>
      <c r="E219" s="4" t="s">
        <v>19</v>
      </c>
      <c r="F219" s="4" t="s">
        <v>20</v>
      </c>
      <c r="G219" s="4" t="s">
        <v>21</v>
      </c>
      <c r="H219" s="19">
        <v>5</v>
      </c>
      <c r="I219" s="4">
        <v>249.99</v>
      </c>
      <c r="J219" s="4" t="s">
        <v>28</v>
      </c>
      <c r="K219" s="4" t="s">
        <v>65</v>
      </c>
      <c r="L219" s="4" t="s">
        <v>38</v>
      </c>
      <c r="M219" s="5">
        <v>44707</v>
      </c>
      <c r="N219" s="4">
        <v>1249.95</v>
      </c>
    </row>
    <row r="220" spans="1:14" x14ac:dyDescent="0.3">
      <c r="A220" s="4" t="s">
        <v>166</v>
      </c>
      <c r="B220" s="5">
        <v>45456</v>
      </c>
      <c r="C220" s="4" t="s">
        <v>131</v>
      </c>
      <c r="D220" s="4" t="s">
        <v>132</v>
      </c>
      <c r="E220" s="4" t="s">
        <v>119</v>
      </c>
      <c r="F220" s="4" t="s">
        <v>120</v>
      </c>
      <c r="G220" s="4" t="s">
        <v>21</v>
      </c>
      <c r="H220" s="19">
        <v>5</v>
      </c>
      <c r="I220" s="4">
        <v>89.99</v>
      </c>
      <c r="J220" s="4" t="s">
        <v>22</v>
      </c>
      <c r="K220" s="4" t="s">
        <v>23</v>
      </c>
      <c r="L220" s="4" t="s">
        <v>29</v>
      </c>
      <c r="M220" s="5">
        <v>44579</v>
      </c>
      <c r="N220" s="4">
        <v>449.95</v>
      </c>
    </row>
    <row r="221" spans="1:14" x14ac:dyDescent="0.3">
      <c r="A221" s="4" t="s">
        <v>168</v>
      </c>
      <c r="B221" s="5">
        <v>45459</v>
      </c>
      <c r="C221" s="4" t="s">
        <v>17</v>
      </c>
      <c r="D221" s="4" t="s">
        <v>18</v>
      </c>
      <c r="E221" s="4" t="s">
        <v>63</v>
      </c>
      <c r="F221" s="4" t="s">
        <v>64</v>
      </c>
      <c r="G221" s="4" t="s">
        <v>21</v>
      </c>
      <c r="H221" s="19">
        <v>5</v>
      </c>
      <c r="I221" s="4">
        <v>899.99</v>
      </c>
      <c r="J221" s="4" t="s">
        <v>28</v>
      </c>
      <c r="K221" s="4" t="s">
        <v>37</v>
      </c>
      <c r="L221" s="4" t="s">
        <v>38</v>
      </c>
      <c r="M221" s="5">
        <v>44974</v>
      </c>
      <c r="N221" s="4">
        <v>4499.95</v>
      </c>
    </row>
    <row r="222" spans="1:14" x14ac:dyDescent="0.3">
      <c r="A222" s="4" t="s">
        <v>169</v>
      </c>
      <c r="B222" s="5">
        <v>45459</v>
      </c>
      <c r="C222" s="4" t="s">
        <v>125</v>
      </c>
      <c r="D222" s="4" t="s">
        <v>126</v>
      </c>
      <c r="E222" s="4" t="s">
        <v>63</v>
      </c>
      <c r="F222" s="4" t="s">
        <v>64</v>
      </c>
      <c r="G222" s="4" t="s">
        <v>21</v>
      </c>
      <c r="H222" s="19">
        <v>5</v>
      </c>
      <c r="I222" s="4">
        <v>899.99</v>
      </c>
      <c r="J222" s="4" t="s">
        <v>36</v>
      </c>
      <c r="K222" s="4" t="s">
        <v>65</v>
      </c>
      <c r="L222" s="4" t="s">
        <v>29</v>
      </c>
      <c r="M222" s="5">
        <v>45278</v>
      </c>
      <c r="N222" s="4">
        <v>4499.95</v>
      </c>
    </row>
    <row r="223" spans="1:14" x14ac:dyDescent="0.3">
      <c r="A223" s="4" t="s">
        <v>190</v>
      </c>
      <c r="B223" s="5">
        <v>45481</v>
      </c>
      <c r="C223" s="4" t="s">
        <v>98</v>
      </c>
      <c r="D223" s="4" t="s">
        <v>99</v>
      </c>
      <c r="E223" s="4" t="s">
        <v>119</v>
      </c>
      <c r="F223" s="4" t="s">
        <v>120</v>
      </c>
      <c r="G223" s="4" t="s">
        <v>21</v>
      </c>
      <c r="H223" s="19">
        <v>5</v>
      </c>
      <c r="I223" s="4">
        <v>89.99</v>
      </c>
      <c r="J223" s="4" t="s">
        <v>59</v>
      </c>
      <c r="K223" s="4" t="s">
        <v>42</v>
      </c>
      <c r="L223" s="4" t="s">
        <v>29</v>
      </c>
      <c r="M223" s="5">
        <v>45161</v>
      </c>
      <c r="N223" s="4">
        <v>449.95</v>
      </c>
    </row>
    <row r="224" spans="1:14" x14ac:dyDescent="0.3">
      <c r="A224" s="4" t="s">
        <v>203</v>
      </c>
      <c r="B224" s="5">
        <v>45497</v>
      </c>
      <c r="C224" s="4" t="s">
        <v>26</v>
      </c>
      <c r="D224" s="4" t="s">
        <v>27</v>
      </c>
      <c r="E224" s="4" t="s">
        <v>63</v>
      </c>
      <c r="F224" s="4" t="s">
        <v>64</v>
      </c>
      <c r="G224" s="4" t="s">
        <v>21</v>
      </c>
      <c r="H224" s="19">
        <v>5</v>
      </c>
      <c r="I224" s="4">
        <v>899.99</v>
      </c>
      <c r="J224" s="4" t="s">
        <v>59</v>
      </c>
      <c r="K224" s="4" t="s">
        <v>37</v>
      </c>
      <c r="L224" s="4" t="s">
        <v>38</v>
      </c>
      <c r="M224" s="5">
        <v>44899</v>
      </c>
      <c r="N224" s="4">
        <v>4499.95</v>
      </c>
    </row>
    <row r="225" spans="1:14" x14ac:dyDescent="0.3">
      <c r="A225" s="4" t="s">
        <v>222</v>
      </c>
      <c r="B225" s="5">
        <v>45519</v>
      </c>
      <c r="C225" s="4" t="s">
        <v>160</v>
      </c>
      <c r="D225" s="4" t="s">
        <v>161</v>
      </c>
      <c r="E225" s="4" t="s">
        <v>128</v>
      </c>
      <c r="F225" s="4" t="s">
        <v>129</v>
      </c>
      <c r="G225" s="4" t="s">
        <v>48</v>
      </c>
      <c r="H225" s="19">
        <v>5</v>
      </c>
      <c r="I225" s="4">
        <v>199.99</v>
      </c>
      <c r="J225" s="4" t="s">
        <v>22</v>
      </c>
      <c r="K225" s="4" t="s">
        <v>42</v>
      </c>
      <c r="L225" s="4" t="s">
        <v>29</v>
      </c>
      <c r="M225" s="5">
        <v>44991</v>
      </c>
      <c r="N225" s="4">
        <v>999.95</v>
      </c>
    </row>
    <row r="226" spans="1:14" x14ac:dyDescent="0.3">
      <c r="A226" s="4" t="s">
        <v>219</v>
      </c>
      <c r="B226" s="5">
        <v>45517</v>
      </c>
      <c r="C226" s="4" t="s">
        <v>187</v>
      </c>
      <c r="D226" s="4" t="s">
        <v>188</v>
      </c>
      <c r="E226" s="4" t="s">
        <v>19</v>
      </c>
      <c r="F226" s="4" t="s">
        <v>20</v>
      </c>
      <c r="G226" s="4" t="s">
        <v>21</v>
      </c>
      <c r="H226" s="19">
        <v>5</v>
      </c>
      <c r="I226" s="4">
        <v>249.99</v>
      </c>
      <c r="J226" s="4" t="s">
        <v>36</v>
      </c>
      <c r="K226" s="4" t="s">
        <v>65</v>
      </c>
      <c r="L226" s="4" t="s">
        <v>29</v>
      </c>
      <c r="M226" s="5">
        <v>44782</v>
      </c>
      <c r="N226" s="4">
        <v>1249.95</v>
      </c>
    </row>
    <row r="227" spans="1:14" x14ac:dyDescent="0.3">
      <c r="A227" s="4" t="s">
        <v>226</v>
      </c>
      <c r="B227" s="5">
        <v>45526</v>
      </c>
      <c r="C227" s="4" t="s">
        <v>104</v>
      </c>
      <c r="D227" s="4" t="s">
        <v>105</v>
      </c>
      <c r="E227" s="4" t="s">
        <v>46</v>
      </c>
      <c r="F227" s="4" t="s">
        <v>47</v>
      </c>
      <c r="G227" s="4" t="s">
        <v>48</v>
      </c>
      <c r="H227" s="19">
        <v>5</v>
      </c>
      <c r="I227" s="4">
        <v>149.99</v>
      </c>
      <c r="J227" s="4" t="s">
        <v>28</v>
      </c>
      <c r="K227" s="4" t="s">
        <v>23</v>
      </c>
      <c r="L227" s="4" t="s">
        <v>24</v>
      </c>
      <c r="M227" s="5">
        <v>45310</v>
      </c>
      <c r="N227" s="4">
        <v>749.95</v>
      </c>
    </row>
    <row r="228" spans="1:14" x14ac:dyDescent="0.3">
      <c r="A228" s="4" t="s">
        <v>224</v>
      </c>
      <c r="B228" s="5">
        <v>45523</v>
      </c>
      <c r="C228" s="4" t="s">
        <v>198</v>
      </c>
      <c r="D228" s="4" t="s">
        <v>199</v>
      </c>
      <c r="E228" s="4" t="s">
        <v>63</v>
      </c>
      <c r="F228" s="4" t="s">
        <v>64</v>
      </c>
      <c r="G228" s="4" t="s">
        <v>21</v>
      </c>
      <c r="H228" s="19">
        <v>5</v>
      </c>
      <c r="I228" s="4">
        <v>899.99</v>
      </c>
      <c r="J228" s="4" t="s">
        <v>59</v>
      </c>
      <c r="K228" s="4" t="s">
        <v>65</v>
      </c>
      <c r="L228" s="4" t="s">
        <v>24</v>
      </c>
      <c r="M228" s="5">
        <v>44526</v>
      </c>
      <c r="N228" s="4">
        <v>4499.95</v>
      </c>
    </row>
    <row r="229" spans="1:14" x14ac:dyDescent="0.3">
      <c r="A229" s="4" t="s">
        <v>287</v>
      </c>
      <c r="B229" s="5">
        <v>45608</v>
      </c>
      <c r="C229" s="4" t="s">
        <v>156</v>
      </c>
      <c r="D229" s="4" t="s">
        <v>157</v>
      </c>
      <c r="E229" s="4" t="s">
        <v>46</v>
      </c>
      <c r="F229" s="4" t="s">
        <v>47</v>
      </c>
      <c r="G229" s="4" t="s">
        <v>48</v>
      </c>
      <c r="H229" s="19">
        <v>5</v>
      </c>
      <c r="I229" s="4">
        <v>149.99</v>
      </c>
      <c r="J229" s="4" t="s">
        <v>36</v>
      </c>
      <c r="K229" s="4" t="s">
        <v>23</v>
      </c>
      <c r="L229" s="4" t="s">
        <v>24</v>
      </c>
      <c r="M229" s="5">
        <v>44901</v>
      </c>
      <c r="N229" s="4">
        <v>749.95</v>
      </c>
    </row>
    <row r="230" spans="1:14" x14ac:dyDescent="0.3">
      <c r="A230" s="4" t="s">
        <v>289</v>
      </c>
      <c r="B230" s="5">
        <v>45613</v>
      </c>
      <c r="C230" s="4" t="s">
        <v>236</v>
      </c>
      <c r="D230" s="4" t="s">
        <v>237</v>
      </c>
      <c r="E230" s="4" t="s">
        <v>46</v>
      </c>
      <c r="F230" s="4" t="s">
        <v>47</v>
      </c>
      <c r="G230" s="4" t="s">
        <v>48</v>
      </c>
      <c r="H230" s="19">
        <v>5</v>
      </c>
      <c r="I230" s="4">
        <v>149.99</v>
      </c>
      <c r="J230" s="4" t="s">
        <v>22</v>
      </c>
      <c r="K230" s="4" t="s">
        <v>42</v>
      </c>
      <c r="L230" s="4" t="s">
        <v>24</v>
      </c>
      <c r="M230" s="5">
        <v>44869</v>
      </c>
      <c r="N230" s="4">
        <v>749.95</v>
      </c>
    </row>
    <row r="231" spans="1:14" x14ac:dyDescent="0.3">
      <c r="A231" s="4" t="s">
        <v>323</v>
      </c>
      <c r="B231" s="5">
        <v>45655</v>
      </c>
      <c r="C231" s="4" t="s">
        <v>110</v>
      </c>
      <c r="D231" s="4" t="s">
        <v>111</v>
      </c>
      <c r="E231" s="4" t="s">
        <v>46</v>
      </c>
      <c r="F231" s="4" t="s">
        <v>47</v>
      </c>
      <c r="G231" s="4" t="s">
        <v>48</v>
      </c>
      <c r="H231" s="19">
        <v>5</v>
      </c>
      <c r="I231" s="4">
        <v>149.99</v>
      </c>
      <c r="J231" s="4" t="s">
        <v>22</v>
      </c>
      <c r="K231" s="4" t="s">
        <v>23</v>
      </c>
      <c r="L231" s="4" t="s">
        <v>29</v>
      </c>
      <c r="M231" s="5">
        <v>45347</v>
      </c>
      <c r="N231" s="4">
        <v>749.95</v>
      </c>
    </row>
    <row r="232" spans="1:14" x14ac:dyDescent="0.3">
      <c r="A232" s="4" t="s">
        <v>252</v>
      </c>
      <c r="B232" s="5">
        <v>45554</v>
      </c>
      <c r="C232" s="4" t="s">
        <v>149</v>
      </c>
      <c r="D232" s="4" t="s">
        <v>150</v>
      </c>
      <c r="E232" s="4" t="s">
        <v>119</v>
      </c>
      <c r="F232" s="4" t="s">
        <v>120</v>
      </c>
      <c r="G232" s="4" t="s">
        <v>21</v>
      </c>
      <c r="H232" s="19">
        <v>5</v>
      </c>
      <c r="I232" s="4">
        <v>89.99</v>
      </c>
      <c r="J232" s="4" t="s">
        <v>28</v>
      </c>
      <c r="K232" s="4" t="s">
        <v>65</v>
      </c>
      <c r="L232" s="4" t="s">
        <v>29</v>
      </c>
      <c r="M232" s="5">
        <v>44446</v>
      </c>
      <c r="N232" s="4">
        <v>449.95</v>
      </c>
    </row>
    <row r="233" spans="1:14" x14ac:dyDescent="0.3">
      <c r="A233" s="4" t="s">
        <v>332</v>
      </c>
      <c r="B233" s="5">
        <v>45667</v>
      </c>
      <c r="C233" s="4" t="s">
        <v>110</v>
      </c>
      <c r="D233" s="4" t="s">
        <v>111</v>
      </c>
      <c r="E233" s="4" t="s">
        <v>128</v>
      </c>
      <c r="F233" s="4" t="s">
        <v>129</v>
      </c>
      <c r="G233" s="4" t="s">
        <v>48</v>
      </c>
      <c r="H233" s="19">
        <v>5</v>
      </c>
      <c r="I233" s="4">
        <v>199.99</v>
      </c>
      <c r="J233" s="4" t="s">
        <v>36</v>
      </c>
      <c r="K233" s="4" t="s">
        <v>23</v>
      </c>
      <c r="L233" s="4" t="s">
        <v>38</v>
      </c>
      <c r="M233" s="5">
        <v>44633</v>
      </c>
      <c r="N233" s="4">
        <v>999.95</v>
      </c>
    </row>
    <row r="234" spans="1:14" x14ac:dyDescent="0.3">
      <c r="A234" s="4" t="s">
        <v>342</v>
      </c>
      <c r="B234" s="5">
        <v>45673</v>
      </c>
      <c r="C234" s="4" t="s">
        <v>213</v>
      </c>
      <c r="D234" s="4" t="s">
        <v>214</v>
      </c>
      <c r="E234" s="4" t="s">
        <v>107</v>
      </c>
      <c r="F234" s="4" t="s">
        <v>108</v>
      </c>
      <c r="G234" s="4" t="s">
        <v>48</v>
      </c>
      <c r="H234" s="19">
        <v>5</v>
      </c>
      <c r="I234" s="4">
        <v>299.99</v>
      </c>
      <c r="J234" s="4" t="s">
        <v>59</v>
      </c>
      <c r="K234" s="4" t="s">
        <v>23</v>
      </c>
      <c r="L234" s="4" t="s">
        <v>24</v>
      </c>
      <c r="M234" s="5">
        <v>44431</v>
      </c>
      <c r="N234" s="4">
        <v>1499.95</v>
      </c>
    </row>
    <row r="235" spans="1:14" x14ac:dyDescent="0.3">
      <c r="A235" s="4" t="s">
        <v>270</v>
      </c>
      <c r="B235" s="5">
        <v>45581</v>
      </c>
      <c r="C235" s="4" t="s">
        <v>98</v>
      </c>
      <c r="D235" s="4" t="s">
        <v>99</v>
      </c>
      <c r="E235" s="4" t="s">
        <v>82</v>
      </c>
      <c r="F235" s="4" t="s">
        <v>83</v>
      </c>
      <c r="G235" s="4" t="s">
        <v>21</v>
      </c>
      <c r="H235" s="19">
        <v>5</v>
      </c>
      <c r="I235" s="4">
        <v>699.99</v>
      </c>
      <c r="J235" s="4" t="s">
        <v>22</v>
      </c>
      <c r="K235" s="4" t="s">
        <v>65</v>
      </c>
      <c r="L235" s="4" t="s">
        <v>38</v>
      </c>
      <c r="M235" s="5">
        <v>45008</v>
      </c>
      <c r="N235" s="4">
        <v>3499.95</v>
      </c>
    </row>
    <row r="236" spans="1:14" x14ac:dyDescent="0.3">
      <c r="A236" s="4" t="s">
        <v>277</v>
      </c>
      <c r="B236" s="5">
        <v>45589</v>
      </c>
      <c r="C236" s="4" t="s">
        <v>160</v>
      </c>
      <c r="D236" s="4" t="s">
        <v>161</v>
      </c>
      <c r="E236" s="4" t="s">
        <v>82</v>
      </c>
      <c r="F236" s="4" t="s">
        <v>83</v>
      </c>
      <c r="G236" s="4" t="s">
        <v>21</v>
      </c>
      <c r="H236" s="19">
        <v>5</v>
      </c>
      <c r="I236" s="4">
        <v>699.99</v>
      </c>
      <c r="J236" s="4" t="s">
        <v>22</v>
      </c>
      <c r="K236" s="4" t="s">
        <v>42</v>
      </c>
      <c r="L236" s="4" t="s">
        <v>29</v>
      </c>
      <c r="M236" s="5">
        <v>44635</v>
      </c>
      <c r="N236" s="4">
        <v>3499.95</v>
      </c>
    </row>
    <row r="237" spans="1:14" x14ac:dyDescent="0.3">
      <c r="A237" s="4" t="s">
        <v>279</v>
      </c>
      <c r="B237" s="5">
        <v>45597</v>
      </c>
      <c r="C237" s="4" t="s">
        <v>17</v>
      </c>
      <c r="D237" s="4" t="s">
        <v>18</v>
      </c>
      <c r="E237" s="4" t="s">
        <v>19</v>
      </c>
      <c r="F237" s="4" t="s">
        <v>20</v>
      </c>
      <c r="G237" s="4" t="s">
        <v>21</v>
      </c>
      <c r="H237" s="19">
        <v>5</v>
      </c>
      <c r="I237" s="4">
        <v>249.99</v>
      </c>
      <c r="J237" s="4" t="s">
        <v>28</v>
      </c>
      <c r="K237" s="4" t="s">
        <v>37</v>
      </c>
      <c r="L237" s="4" t="s">
        <v>38</v>
      </c>
      <c r="M237" s="5">
        <v>44881</v>
      </c>
      <c r="N237" s="4">
        <v>1249.95</v>
      </c>
    </row>
    <row r="238" spans="1:14" x14ac:dyDescent="0.3">
      <c r="A238" s="4" t="s">
        <v>294</v>
      </c>
      <c r="B238" s="5">
        <v>45622</v>
      </c>
      <c r="C238" s="4" t="s">
        <v>295</v>
      </c>
      <c r="D238" s="4" t="s">
        <v>296</v>
      </c>
      <c r="E238" s="4" t="s">
        <v>19</v>
      </c>
      <c r="F238" s="4" t="s">
        <v>20</v>
      </c>
      <c r="G238" s="4" t="s">
        <v>21</v>
      </c>
      <c r="H238" s="19">
        <v>5</v>
      </c>
      <c r="I238" s="4">
        <v>249.99</v>
      </c>
      <c r="J238" s="4" t="s">
        <v>28</v>
      </c>
      <c r="K238" s="4" t="s">
        <v>42</v>
      </c>
      <c r="L238" s="4" t="s">
        <v>24</v>
      </c>
      <c r="M238" s="5">
        <v>44873</v>
      </c>
      <c r="N238" s="4">
        <v>1249.95</v>
      </c>
    </row>
    <row r="239" spans="1:14" x14ac:dyDescent="0.3">
      <c r="A239" s="4" t="s">
        <v>299</v>
      </c>
      <c r="B239" s="5">
        <v>45627</v>
      </c>
      <c r="C239" s="4" t="s">
        <v>57</v>
      </c>
      <c r="D239" s="4" t="s">
        <v>58</v>
      </c>
      <c r="E239" s="4" t="s">
        <v>19</v>
      </c>
      <c r="F239" s="4" t="s">
        <v>20</v>
      </c>
      <c r="G239" s="4" t="s">
        <v>21</v>
      </c>
      <c r="H239" s="19">
        <v>5</v>
      </c>
      <c r="I239" s="4">
        <v>249.99</v>
      </c>
      <c r="J239" s="4" t="s">
        <v>22</v>
      </c>
      <c r="K239" s="4" t="s">
        <v>23</v>
      </c>
      <c r="L239" s="4" t="s">
        <v>29</v>
      </c>
      <c r="M239" s="5">
        <v>44485</v>
      </c>
      <c r="N239" s="4">
        <v>1249.95</v>
      </c>
    </row>
    <row r="240" spans="1:14" x14ac:dyDescent="0.3">
      <c r="A240" s="4" t="s">
        <v>301</v>
      </c>
      <c r="B240" s="5">
        <v>45627</v>
      </c>
      <c r="C240" s="4" t="s">
        <v>88</v>
      </c>
      <c r="D240" s="4" t="s">
        <v>89</v>
      </c>
      <c r="E240" s="4" t="s">
        <v>82</v>
      </c>
      <c r="F240" s="4" t="s">
        <v>83</v>
      </c>
      <c r="G240" s="4" t="s">
        <v>21</v>
      </c>
      <c r="H240" s="19">
        <v>5</v>
      </c>
      <c r="I240" s="4">
        <v>699.99</v>
      </c>
      <c r="J240" s="4" t="s">
        <v>59</v>
      </c>
      <c r="K240" s="4" t="s">
        <v>52</v>
      </c>
      <c r="L240" s="4" t="s">
        <v>38</v>
      </c>
      <c r="M240" s="5">
        <v>44944</v>
      </c>
      <c r="N240" s="4">
        <v>3499.95</v>
      </c>
    </row>
    <row r="241" spans="1:14" x14ac:dyDescent="0.3">
      <c r="A241" s="4" t="s">
        <v>355</v>
      </c>
      <c r="B241" s="5">
        <v>45695</v>
      </c>
      <c r="C241" s="4" t="s">
        <v>95</v>
      </c>
      <c r="D241" s="4" t="s">
        <v>96</v>
      </c>
      <c r="E241" s="4" t="s">
        <v>107</v>
      </c>
      <c r="F241" s="4" t="s">
        <v>108</v>
      </c>
      <c r="G241" s="4" t="s">
        <v>48</v>
      </c>
      <c r="H241" s="19">
        <v>5</v>
      </c>
      <c r="I241" s="4">
        <v>299.99</v>
      </c>
      <c r="J241" s="4" t="s">
        <v>28</v>
      </c>
      <c r="K241" s="4" t="s">
        <v>37</v>
      </c>
      <c r="L241" s="4" t="s">
        <v>24</v>
      </c>
      <c r="M241" s="5">
        <v>44959</v>
      </c>
      <c r="N241" s="4">
        <v>1499.95</v>
      </c>
    </row>
    <row r="242" spans="1:14" x14ac:dyDescent="0.3">
      <c r="A242" s="4" t="s">
        <v>315</v>
      </c>
      <c r="B242" s="5">
        <v>45645</v>
      </c>
      <c r="C242" s="4" t="s">
        <v>149</v>
      </c>
      <c r="D242" s="4" t="s">
        <v>150</v>
      </c>
      <c r="E242" s="4" t="s">
        <v>63</v>
      </c>
      <c r="F242" s="4" t="s">
        <v>64</v>
      </c>
      <c r="G242" s="4" t="s">
        <v>21</v>
      </c>
      <c r="H242" s="19">
        <v>5</v>
      </c>
      <c r="I242" s="4">
        <v>899.99</v>
      </c>
      <c r="J242" s="4" t="s">
        <v>59</v>
      </c>
      <c r="K242" s="4" t="s">
        <v>65</v>
      </c>
      <c r="L242" s="4" t="s">
        <v>38</v>
      </c>
      <c r="M242" s="5">
        <v>44625</v>
      </c>
      <c r="N242" s="4">
        <v>4499.95</v>
      </c>
    </row>
    <row r="243" spans="1:14" x14ac:dyDescent="0.3">
      <c r="A243" s="4" t="s">
        <v>329</v>
      </c>
      <c r="B243" s="5">
        <v>45663</v>
      </c>
      <c r="C243" s="4" t="s">
        <v>131</v>
      </c>
      <c r="D243" s="4" t="s">
        <v>132</v>
      </c>
      <c r="E243" s="4" t="s">
        <v>54</v>
      </c>
      <c r="F243" s="4" t="s">
        <v>55</v>
      </c>
      <c r="G243" s="4" t="s">
        <v>21</v>
      </c>
      <c r="H243" s="19">
        <v>5</v>
      </c>
      <c r="I243" s="4">
        <v>149.99</v>
      </c>
      <c r="J243" s="4" t="s">
        <v>36</v>
      </c>
      <c r="K243" s="4" t="s">
        <v>65</v>
      </c>
      <c r="L243" s="4" t="s">
        <v>29</v>
      </c>
      <c r="M243" s="5">
        <v>44824</v>
      </c>
      <c r="N243" s="4">
        <v>749.95</v>
      </c>
    </row>
    <row r="244" spans="1:14" x14ac:dyDescent="0.3">
      <c r="A244" s="4" t="s">
        <v>333</v>
      </c>
      <c r="B244" s="5">
        <v>45667</v>
      </c>
      <c r="C244" s="4" t="s">
        <v>95</v>
      </c>
      <c r="D244" s="4" t="s">
        <v>96</v>
      </c>
      <c r="E244" s="4" t="s">
        <v>19</v>
      </c>
      <c r="F244" s="4" t="s">
        <v>20</v>
      </c>
      <c r="G244" s="4" t="s">
        <v>21</v>
      </c>
      <c r="H244" s="19">
        <v>5</v>
      </c>
      <c r="I244" s="4">
        <v>249.99</v>
      </c>
      <c r="J244" s="4" t="s">
        <v>28</v>
      </c>
      <c r="K244" s="4" t="s">
        <v>37</v>
      </c>
      <c r="L244" s="4" t="s">
        <v>24</v>
      </c>
      <c r="M244" s="5">
        <v>45330</v>
      </c>
      <c r="N244" s="4">
        <v>1249.95</v>
      </c>
    </row>
    <row r="245" spans="1:14" x14ac:dyDescent="0.3">
      <c r="A245" s="4" t="s">
        <v>361</v>
      </c>
      <c r="B245" s="5">
        <v>45707</v>
      </c>
      <c r="C245" s="4" t="s">
        <v>125</v>
      </c>
      <c r="D245" s="4" t="s">
        <v>126</v>
      </c>
      <c r="E245" s="4" t="s">
        <v>82</v>
      </c>
      <c r="F245" s="4" t="s">
        <v>83</v>
      </c>
      <c r="G245" s="4" t="s">
        <v>21</v>
      </c>
      <c r="H245" s="19">
        <v>5</v>
      </c>
      <c r="I245" s="4">
        <v>699.99</v>
      </c>
      <c r="J245" s="4" t="s">
        <v>36</v>
      </c>
      <c r="K245" s="4" t="s">
        <v>37</v>
      </c>
      <c r="L245" s="4" t="s">
        <v>29</v>
      </c>
      <c r="M245" s="5">
        <v>45352</v>
      </c>
      <c r="N245" s="4">
        <v>3499.95</v>
      </c>
    </row>
    <row r="246" spans="1:14" x14ac:dyDescent="0.3">
      <c r="A246" s="4" t="s">
        <v>365</v>
      </c>
      <c r="B246" s="5">
        <v>45710</v>
      </c>
      <c r="C246" s="4" t="s">
        <v>57</v>
      </c>
      <c r="D246" s="4" t="s">
        <v>58</v>
      </c>
      <c r="E246" s="4" t="s">
        <v>107</v>
      </c>
      <c r="F246" s="4" t="s">
        <v>108</v>
      </c>
      <c r="G246" s="4" t="s">
        <v>48</v>
      </c>
      <c r="H246" s="19">
        <v>5</v>
      </c>
      <c r="I246" s="4">
        <v>299.99</v>
      </c>
      <c r="J246" s="4" t="s">
        <v>22</v>
      </c>
      <c r="K246" s="4" t="s">
        <v>52</v>
      </c>
      <c r="L246" s="4" t="s">
        <v>38</v>
      </c>
      <c r="M246" s="5">
        <v>45142</v>
      </c>
      <c r="N246" s="4">
        <v>1499.95</v>
      </c>
    </row>
    <row r="247" spans="1:14" x14ac:dyDescent="0.3">
      <c r="A247" s="4" t="s">
        <v>369</v>
      </c>
      <c r="B247" s="5">
        <v>45711</v>
      </c>
      <c r="C247" s="4" t="s">
        <v>213</v>
      </c>
      <c r="D247" s="4" t="s">
        <v>214</v>
      </c>
      <c r="E247" s="4" t="s">
        <v>119</v>
      </c>
      <c r="F247" s="4" t="s">
        <v>120</v>
      </c>
      <c r="G247" s="4" t="s">
        <v>21</v>
      </c>
      <c r="H247" s="19">
        <v>5</v>
      </c>
      <c r="I247" s="4">
        <v>89.99</v>
      </c>
      <c r="J247" s="4" t="s">
        <v>36</v>
      </c>
      <c r="K247" s="4" t="s">
        <v>52</v>
      </c>
      <c r="L247" s="4" t="s">
        <v>29</v>
      </c>
      <c r="M247" s="5">
        <v>45140</v>
      </c>
      <c r="N247" s="4">
        <v>449.95</v>
      </c>
    </row>
    <row r="248" spans="1:14" x14ac:dyDescent="0.3">
      <c r="A248" s="4" t="s">
        <v>374</v>
      </c>
      <c r="B248" s="5">
        <v>45720</v>
      </c>
      <c r="C248" s="4" t="s">
        <v>228</v>
      </c>
      <c r="D248" s="4" t="s">
        <v>229</v>
      </c>
      <c r="E248" s="4" t="s">
        <v>82</v>
      </c>
      <c r="F248" s="4" t="s">
        <v>83</v>
      </c>
      <c r="G248" s="4" t="s">
        <v>21</v>
      </c>
      <c r="H248" s="19">
        <v>5</v>
      </c>
      <c r="I248" s="4">
        <v>699.99</v>
      </c>
      <c r="J248" s="4" t="s">
        <v>59</v>
      </c>
      <c r="K248" s="4" t="s">
        <v>65</v>
      </c>
      <c r="L248" s="4" t="s">
        <v>29</v>
      </c>
      <c r="M248" s="5">
        <v>45161</v>
      </c>
      <c r="N248" s="4">
        <v>3499.95</v>
      </c>
    </row>
    <row r="249" spans="1:14" x14ac:dyDescent="0.3">
      <c r="A249" s="4" t="s">
        <v>377</v>
      </c>
      <c r="B249" s="5">
        <v>45723</v>
      </c>
      <c r="C249" s="4" t="s">
        <v>122</v>
      </c>
      <c r="D249" s="4" t="s">
        <v>123</v>
      </c>
      <c r="E249" s="4" t="s">
        <v>19</v>
      </c>
      <c r="F249" s="4" t="s">
        <v>20</v>
      </c>
      <c r="G249" s="4" t="s">
        <v>21</v>
      </c>
      <c r="H249" s="19">
        <v>5</v>
      </c>
      <c r="I249" s="4">
        <v>249.99</v>
      </c>
      <c r="J249" s="4" t="s">
        <v>22</v>
      </c>
      <c r="K249" s="4" t="s">
        <v>65</v>
      </c>
      <c r="L249" s="4" t="s">
        <v>38</v>
      </c>
      <c r="M249" s="5">
        <v>44540</v>
      </c>
      <c r="N249" s="4">
        <v>1249.95</v>
      </c>
    </row>
    <row r="250" spans="1:14" x14ac:dyDescent="0.3">
      <c r="A250" s="4" t="s">
        <v>379</v>
      </c>
      <c r="B250" s="5">
        <v>45724</v>
      </c>
      <c r="C250" s="4" t="s">
        <v>146</v>
      </c>
      <c r="D250" s="4" t="s">
        <v>147</v>
      </c>
      <c r="E250" s="4" t="s">
        <v>63</v>
      </c>
      <c r="F250" s="4" t="s">
        <v>64</v>
      </c>
      <c r="G250" s="4" t="s">
        <v>21</v>
      </c>
      <c r="H250" s="19">
        <v>5</v>
      </c>
      <c r="I250" s="4">
        <v>899.99</v>
      </c>
      <c r="J250" s="4" t="s">
        <v>36</v>
      </c>
      <c r="K250" s="4" t="s">
        <v>65</v>
      </c>
      <c r="L250" s="4" t="s">
        <v>29</v>
      </c>
      <c r="M250" s="5">
        <v>45389</v>
      </c>
      <c r="N250" s="4">
        <v>4499.95</v>
      </c>
    </row>
    <row r="251" spans="1:14" x14ac:dyDescent="0.3">
      <c r="A251" s="4" t="s">
        <v>391</v>
      </c>
      <c r="B251" s="5">
        <v>45745</v>
      </c>
      <c r="C251" s="4" t="s">
        <v>187</v>
      </c>
      <c r="D251" s="4" t="s">
        <v>188</v>
      </c>
      <c r="E251" s="4" t="s">
        <v>119</v>
      </c>
      <c r="F251" s="4" t="s">
        <v>120</v>
      </c>
      <c r="G251" s="4" t="s">
        <v>21</v>
      </c>
      <c r="H251" s="19">
        <v>5</v>
      </c>
      <c r="I251" s="4">
        <v>89.99</v>
      </c>
      <c r="J251" s="4" t="s">
        <v>36</v>
      </c>
      <c r="K251" s="4" t="s">
        <v>37</v>
      </c>
      <c r="L251" s="4" t="s">
        <v>24</v>
      </c>
      <c r="M251" s="5">
        <v>44704</v>
      </c>
      <c r="N251" s="4">
        <v>449.95</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E5C8-2831-4655-8EEB-949AFAC97FF9}">
  <dimension ref="A1:S256"/>
  <sheetViews>
    <sheetView zoomScaleNormal="100" workbookViewId="0">
      <selection activeCell="K9" sqref="K9"/>
    </sheetView>
  </sheetViews>
  <sheetFormatPr defaultRowHeight="14.4" x14ac:dyDescent="0.3"/>
  <cols>
    <col min="1" max="1" width="16.6640625" bestFit="1" customWidth="1"/>
    <col min="2" max="2" width="10.6640625" bestFit="1" customWidth="1"/>
    <col min="3" max="3" width="13.6640625" bestFit="1" customWidth="1"/>
    <col min="4" max="4" width="11.33203125" bestFit="1" customWidth="1"/>
    <col min="5" max="5" width="10.33203125" bestFit="1" customWidth="1"/>
    <col min="6" max="6" width="11.6640625" bestFit="1" customWidth="1"/>
    <col min="10" max="10" width="13.109375" bestFit="1" customWidth="1"/>
    <col min="11" max="11" width="20.44140625" bestFit="1" customWidth="1"/>
    <col min="12" max="12" width="13.88671875" bestFit="1" customWidth="1"/>
    <col min="13" max="13" width="14.6640625" bestFit="1" customWidth="1"/>
    <col min="14" max="14" width="11" bestFit="1" customWidth="1"/>
    <col min="15" max="15" width="12.6640625" bestFit="1" customWidth="1"/>
    <col min="16" max="16" width="12.5546875" bestFit="1" customWidth="1"/>
    <col min="17" max="17" width="11" bestFit="1" customWidth="1"/>
    <col min="18" max="18" width="16.88671875" bestFit="1" customWidth="1"/>
    <col min="19" max="19" width="15.44140625" bestFit="1" customWidth="1"/>
    <col min="20" max="20" width="15" bestFit="1" customWidth="1"/>
    <col min="21" max="21" width="15.44140625" bestFit="1" customWidth="1"/>
    <col min="22" max="22" width="15.5546875" bestFit="1" customWidth="1"/>
    <col min="23" max="23" width="13.109375" bestFit="1" customWidth="1"/>
    <col min="24" max="24" width="13.33203125" bestFit="1" customWidth="1"/>
    <col min="25" max="25" width="11.88671875" bestFit="1" customWidth="1"/>
    <col min="26" max="26" width="14.109375" bestFit="1" customWidth="1"/>
    <col min="27" max="27" width="14.5546875" bestFit="1" customWidth="1"/>
    <col min="28" max="28" width="13.109375" bestFit="1" customWidth="1"/>
    <col min="29" max="29" width="13.6640625" bestFit="1" customWidth="1"/>
    <col min="30" max="31" width="14.33203125" bestFit="1" customWidth="1"/>
    <col min="32" max="32" width="10.6640625" bestFit="1" customWidth="1"/>
    <col min="33" max="33" width="14.44140625" bestFit="1" customWidth="1"/>
    <col min="34" max="34" width="11.109375" bestFit="1" customWidth="1"/>
    <col min="35" max="35" width="9.5546875" bestFit="1" customWidth="1"/>
    <col min="36" max="36" width="16.6640625" bestFit="1" customWidth="1"/>
    <col min="37" max="37" width="10.88671875" bestFit="1" customWidth="1"/>
    <col min="38" max="38" width="14.5546875" bestFit="1" customWidth="1"/>
    <col min="39" max="39" width="12.109375" bestFit="1" customWidth="1"/>
    <col min="40" max="40" width="13.44140625" bestFit="1" customWidth="1"/>
    <col min="41" max="41" width="15.88671875" bestFit="1" customWidth="1"/>
    <col min="42" max="42" width="12.109375" bestFit="1" customWidth="1"/>
    <col min="43" max="43" width="11.44140625" bestFit="1" customWidth="1"/>
    <col min="44" max="44" width="14.44140625" bestFit="1" customWidth="1"/>
    <col min="45" max="45" width="15.44140625" bestFit="1" customWidth="1"/>
    <col min="46" max="46" width="12.88671875" bestFit="1" customWidth="1"/>
    <col min="47" max="47" width="14.109375" bestFit="1" customWidth="1"/>
    <col min="48" max="48" width="10.33203125" bestFit="1" customWidth="1"/>
    <col min="49" max="49" width="16.109375" bestFit="1" customWidth="1"/>
    <col min="50" max="50" width="13.88671875" bestFit="1" customWidth="1"/>
    <col min="51" max="51" width="11.109375" bestFit="1" customWidth="1"/>
    <col min="52" max="52" width="14.44140625" bestFit="1" customWidth="1"/>
    <col min="53" max="53" width="11.5546875" bestFit="1" customWidth="1"/>
    <col min="54" max="54" width="14.109375" bestFit="1" customWidth="1"/>
    <col min="55" max="55" width="11" bestFit="1" customWidth="1"/>
    <col min="56" max="56" width="13.109375" bestFit="1" customWidth="1"/>
    <col min="57" max="57" width="13.5546875" bestFit="1" customWidth="1"/>
    <col min="58" max="58" width="12.109375" bestFit="1" customWidth="1"/>
    <col min="59" max="59" width="15.44140625" bestFit="1" customWidth="1"/>
    <col min="60" max="60" width="14.109375" bestFit="1" customWidth="1"/>
    <col min="61" max="61" width="11.33203125" bestFit="1" customWidth="1"/>
  </cols>
  <sheetData>
    <row r="1" spans="1:19" x14ac:dyDescent="0.3">
      <c r="A1" s="49" t="s">
        <v>402</v>
      </c>
      <c r="B1" s="50"/>
      <c r="C1" s="50"/>
      <c r="D1" s="50"/>
      <c r="E1" s="50" t="s">
        <v>407</v>
      </c>
      <c r="F1" s="50"/>
      <c r="G1" s="50"/>
      <c r="H1" s="50" t="s">
        <v>408</v>
      </c>
      <c r="I1" s="50"/>
      <c r="J1" s="50"/>
      <c r="L1" s="49" t="s">
        <v>408</v>
      </c>
      <c r="M1" s="50"/>
      <c r="N1" s="50"/>
    </row>
    <row r="2" spans="1:19" ht="43.2" x14ac:dyDescent="0.3">
      <c r="A2" s="17"/>
      <c r="B2" s="10" t="s">
        <v>403</v>
      </c>
      <c r="F2" s="18" t="s">
        <v>409</v>
      </c>
      <c r="G2" t="str">
        <f t="shared" ref="G2:G15" si="0">IF(C2=4499.95,A2," ")</f>
        <v xml:space="preserve"> </v>
      </c>
      <c r="I2" s="18" t="s">
        <v>410</v>
      </c>
      <c r="J2" s="18" t="s">
        <v>411</v>
      </c>
      <c r="M2" s="18" t="s">
        <v>410</v>
      </c>
      <c r="N2" s="18" t="s">
        <v>411</v>
      </c>
    </row>
    <row r="3" spans="1:19" x14ac:dyDescent="0.3">
      <c r="A3" s="7" t="s">
        <v>21</v>
      </c>
      <c r="B3" s="13">
        <f>MAX(D7:D256)</f>
        <v>4499.95</v>
      </c>
      <c r="C3" t="s">
        <v>62</v>
      </c>
      <c r="D3">
        <f>_xlfn.MAXIFS(C6:C256,B6:B256,A3)</f>
        <v>4499.95</v>
      </c>
      <c r="E3" s="16" t="s">
        <v>35</v>
      </c>
      <c r="F3">
        <f>SUMIF(B6:B256,E3,C6:C256)</f>
        <v>8338.74</v>
      </c>
      <c r="G3" t="str">
        <f t="shared" si="0"/>
        <v xml:space="preserve"> </v>
      </c>
      <c r="H3" s="16" t="s">
        <v>35</v>
      </c>
      <c r="I3">
        <f>_xlfn.MAXIFS(Table1[Quantity],Table1[Category],analysis!H3)</f>
        <v>5</v>
      </c>
      <c r="J3" t="str">
        <f>INDEX(Table1[],MATCH(I3,Table1[Quantity],0),MATCH(Table1[[#Headers],[Product_Name]],Table1[#Headers],0))</f>
        <v>Headphones</v>
      </c>
      <c r="K3">
        <v>5</v>
      </c>
      <c r="L3" s="16" t="s">
        <v>35</v>
      </c>
      <c r="M3">
        <f>_xlfn.MAXIFS(Table1[Quantity],Table1[Category],analysis!L3)</f>
        <v>5</v>
      </c>
      <c r="N3" s="21" t="s">
        <v>34</v>
      </c>
      <c r="R3" s="20" t="s">
        <v>412</v>
      </c>
      <c r="S3" t="s">
        <v>414</v>
      </c>
    </row>
    <row r="4" spans="1:19" x14ac:dyDescent="0.3">
      <c r="A4" s="8" t="s">
        <v>35</v>
      </c>
      <c r="B4" s="13">
        <f>MAX(E7:E256)</f>
        <v>399.95</v>
      </c>
      <c r="C4" t="str">
        <f>H106</f>
        <v>Carol Evans</v>
      </c>
      <c r="D4">
        <f t="shared" ref="D4:D5" si="1">_xlfn.MAXIFS(C7:C257,B7:B257,A4)</f>
        <v>399.95</v>
      </c>
      <c r="E4" s="16" t="s">
        <v>21</v>
      </c>
      <c r="F4">
        <f t="shared" ref="F4:F5" si="2">SUMIF(B7:B257,E4,C7:C257)</f>
        <v>171756.0500000001</v>
      </c>
      <c r="G4" t="str">
        <f t="shared" si="0"/>
        <v xml:space="preserve"> </v>
      </c>
      <c r="H4" s="16" t="s">
        <v>21</v>
      </c>
      <c r="I4">
        <f>_xlfn.MAXIFS(Table1[Quantity],Table1[Category],analysis!H4)</f>
        <v>5</v>
      </c>
      <c r="J4" t="str">
        <f>INDEX(Table1[],MATCH(I4,Table1[Quantity],0),MATCH(Table1[[#Headers],[Product_Name]],Table1[#Headers],0))</f>
        <v>Headphones</v>
      </c>
      <c r="K4">
        <f>VLOOKUP(H4,'Final Project Dataset'!G2:H252,2,0)</f>
        <v>3</v>
      </c>
      <c r="L4" s="16" t="s">
        <v>21</v>
      </c>
      <c r="M4">
        <f>_xlfn.MAXIFS(Table1[Quantity],Table1[Category],analysis!L4)</f>
        <v>5</v>
      </c>
      <c r="N4" s="21" t="s">
        <v>55</v>
      </c>
      <c r="R4" s="16" t="s">
        <v>35</v>
      </c>
      <c r="S4">
        <v>126</v>
      </c>
    </row>
    <row r="5" spans="1:19" x14ac:dyDescent="0.3">
      <c r="A5" s="8" t="s">
        <v>48</v>
      </c>
      <c r="B5" s="13">
        <f>MAX(F7:F256)</f>
        <v>1499.95</v>
      </c>
      <c r="C5" t="s">
        <v>18</v>
      </c>
      <c r="D5">
        <f t="shared" si="1"/>
        <v>1499.95</v>
      </c>
      <c r="E5" s="16" t="s">
        <v>48</v>
      </c>
      <c r="F5">
        <f t="shared" si="2"/>
        <v>49097.679999999978</v>
      </c>
      <c r="G5" t="str">
        <f t="shared" si="0"/>
        <v xml:space="preserve"> </v>
      </c>
      <c r="H5" s="16" t="s">
        <v>48</v>
      </c>
      <c r="I5">
        <f>_xlfn.MAXIFS(Table1[Quantity],Table1[Category],analysis!H5)</f>
        <v>5</v>
      </c>
      <c r="J5" t="str">
        <f>INDEX(Table1[],MATCH(I5,Table1[Quantity],0),MATCH(Table1[[#Headers],[Product_Name]],Table1[#Headers],0))</f>
        <v>Headphones</v>
      </c>
      <c r="K5">
        <f>VLOOKUP(H5,'Final Project Dataset'!G3:H253,2,0)</f>
        <v>5</v>
      </c>
      <c r="L5" s="16" t="s">
        <v>48</v>
      </c>
      <c r="M5">
        <f>_xlfn.MAXIFS(Table1[Quantity],Table1[Category],analysis!L5)</f>
        <v>5</v>
      </c>
      <c r="N5" s="21" t="s">
        <v>47</v>
      </c>
      <c r="R5" s="21" t="s">
        <v>34</v>
      </c>
      <c r="S5">
        <v>87</v>
      </c>
    </row>
    <row r="6" spans="1:19" x14ac:dyDescent="0.3">
      <c r="A6" s="11" t="s">
        <v>5</v>
      </c>
      <c r="B6" s="11" t="s">
        <v>8</v>
      </c>
      <c r="C6" s="12" t="s">
        <v>15</v>
      </c>
      <c r="D6" s="11" t="s">
        <v>404</v>
      </c>
      <c r="E6" s="11" t="s">
        <v>405</v>
      </c>
      <c r="F6" s="11" t="s">
        <v>406</v>
      </c>
      <c r="G6" s="9" t="str">
        <f t="shared" si="0"/>
        <v xml:space="preserve"> </v>
      </c>
      <c r="H6" t="str">
        <f t="shared" ref="H6:H14" si="3">IF(C6=$B$4,A6,"")</f>
        <v/>
      </c>
      <c r="I6" t="str">
        <f t="shared" ref="I6:I15" si="4">IF(C6=$B$5,A6,"")</f>
        <v/>
      </c>
      <c r="R6" s="21" t="s">
        <v>117</v>
      </c>
      <c r="S6">
        <v>39</v>
      </c>
    </row>
    <row r="7" spans="1:19" x14ac:dyDescent="0.3">
      <c r="A7" s="8" t="s">
        <v>18</v>
      </c>
      <c r="B7" s="7" t="s">
        <v>35</v>
      </c>
      <c r="C7" s="14">
        <v>59.99</v>
      </c>
      <c r="D7" t="str">
        <f>IF(B7=$A$3,C7,$G$7)</f>
        <v xml:space="preserve"> </v>
      </c>
      <c r="E7">
        <f>IF(B7=$A$4,C7,$G$7)</f>
        <v>59.99</v>
      </c>
      <c r="F7" t="str">
        <f>IF(B7=$A$5,C7,$H$7)</f>
        <v/>
      </c>
      <c r="G7" t="str">
        <f t="shared" si="0"/>
        <v xml:space="preserve"> </v>
      </c>
      <c r="H7" t="str">
        <f t="shared" si="3"/>
        <v/>
      </c>
      <c r="I7" t="str">
        <f t="shared" si="4"/>
        <v/>
      </c>
      <c r="R7" s="16" t="s">
        <v>21</v>
      </c>
      <c r="S7">
        <v>395</v>
      </c>
    </row>
    <row r="8" spans="1:19" x14ac:dyDescent="0.3">
      <c r="A8" s="7" t="s">
        <v>27</v>
      </c>
      <c r="B8" s="7" t="s">
        <v>35</v>
      </c>
      <c r="C8" s="14">
        <v>59.99</v>
      </c>
      <c r="D8" t="str">
        <f t="shared" ref="D8:D71" si="5">IF(B8=$A$3,C8,$G$7)</f>
        <v xml:space="preserve"> </v>
      </c>
      <c r="E8">
        <f t="shared" ref="E8:E71" si="6">IF(B8=$A$4,C8,$G$7)</f>
        <v>59.99</v>
      </c>
      <c r="F8" t="str">
        <f t="shared" ref="F8:F71" si="7">IF(B8=$A$5,C8,$H$7)</f>
        <v/>
      </c>
      <c r="G8" t="str">
        <f t="shared" si="0"/>
        <v xml:space="preserve"> </v>
      </c>
      <c r="H8" t="str">
        <f t="shared" si="3"/>
        <v/>
      </c>
      <c r="I8" t="str">
        <f t="shared" si="4"/>
        <v/>
      </c>
      <c r="K8" s="22" t="s">
        <v>9</v>
      </c>
      <c r="L8" s="11" t="s">
        <v>8</v>
      </c>
      <c r="M8" s="22" t="s">
        <v>7</v>
      </c>
      <c r="N8" t="str">
        <f>L3</f>
        <v>Appliances</v>
      </c>
      <c r="O8" t="str">
        <f>L4</f>
        <v>Electronics</v>
      </c>
      <c r="P8" t="str">
        <f>L5</f>
        <v>Furniture</v>
      </c>
      <c r="R8" s="21" t="s">
        <v>55</v>
      </c>
      <c r="S8">
        <v>47</v>
      </c>
    </row>
    <row r="9" spans="1:19" x14ac:dyDescent="0.3">
      <c r="A9" s="8" t="s">
        <v>32</v>
      </c>
      <c r="B9" s="8" t="s">
        <v>35</v>
      </c>
      <c r="C9" s="15">
        <v>59.99</v>
      </c>
      <c r="D9" t="str">
        <f t="shared" si="5"/>
        <v xml:space="preserve"> </v>
      </c>
      <c r="E9">
        <f t="shared" si="6"/>
        <v>59.99</v>
      </c>
      <c r="F9" t="str">
        <f t="shared" si="7"/>
        <v/>
      </c>
      <c r="G9" t="str">
        <f t="shared" si="0"/>
        <v xml:space="preserve"> </v>
      </c>
      <c r="H9" t="str">
        <f t="shared" si="3"/>
        <v/>
      </c>
      <c r="I9" t="str">
        <f t="shared" si="4"/>
        <v/>
      </c>
      <c r="K9">
        <f>Table1[[#This Row],[Quantity]]</f>
        <v>1</v>
      </c>
      <c r="L9" t="str">
        <f>Table1[[#This Row],[Category]]</f>
        <v>Electronics</v>
      </c>
      <c r="M9" t="str">
        <f>Table1[[#This Row],[Product_Name]]</f>
        <v>Keyboard</v>
      </c>
      <c r="N9" t="str">
        <f>IF(AND(K9=$M$3,L9=$L$3),M9,"")</f>
        <v/>
      </c>
      <c r="O9" t="str">
        <f t="shared" ref="O9:O72" si="8">IF(AND(K9=M4,L9=$O$8),M9,"no")</f>
        <v>no</v>
      </c>
      <c r="P9" t="str">
        <f t="shared" ref="P9:P72" si="9">IF(AND(K9=$M$5,L9=$P$8),M9,"no")</f>
        <v>no</v>
      </c>
      <c r="R9" s="21" t="s">
        <v>120</v>
      </c>
      <c r="S9">
        <v>89</v>
      </c>
    </row>
    <row r="10" spans="1:19" x14ac:dyDescent="0.3">
      <c r="A10" s="7" t="s">
        <v>41</v>
      </c>
      <c r="B10" s="7" t="s">
        <v>35</v>
      </c>
      <c r="C10" s="14">
        <v>79.989999999999995</v>
      </c>
      <c r="D10" t="str">
        <f t="shared" si="5"/>
        <v xml:space="preserve"> </v>
      </c>
      <c r="E10">
        <f t="shared" si="6"/>
        <v>79.989999999999995</v>
      </c>
      <c r="F10" t="str">
        <f t="shared" si="7"/>
        <v/>
      </c>
      <c r="G10" t="str">
        <f t="shared" si="0"/>
        <v xml:space="preserve"> </v>
      </c>
      <c r="H10" t="str">
        <f t="shared" si="3"/>
        <v/>
      </c>
      <c r="I10" t="str">
        <f t="shared" si="4"/>
        <v/>
      </c>
      <c r="K10">
        <f>Table1[[#This Row],[Quantity]]</f>
        <v>1</v>
      </c>
      <c r="L10" t="str">
        <f>Table1[[#This Row],[Category]]</f>
        <v>Electronics</v>
      </c>
      <c r="M10" t="str">
        <f>Table1[[#This Row],[Product_Name]]</f>
        <v>Headphones</v>
      </c>
      <c r="N10" t="str">
        <f t="shared" ref="N10:N73" si="10">IF(AND(K10=$M$3,L10=$L$3),M10,"no")</f>
        <v>no</v>
      </c>
      <c r="O10" t="str">
        <f t="shared" si="8"/>
        <v>no</v>
      </c>
      <c r="P10" t="str">
        <f t="shared" si="9"/>
        <v>no</v>
      </c>
      <c r="R10" s="21" t="s">
        <v>64</v>
      </c>
      <c r="S10">
        <v>75</v>
      </c>
    </row>
    <row r="11" spans="1:19" x14ac:dyDescent="0.3">
      <c r="A11" s="8" t="s">
        <v>45</v>
      </c>
      <c r="B11" s="8" t="s">
        <v>35</v>
      </c>
      <c r="C11" s="15">
        <v>79.989999999999995</v>
      </c>
      <c r="D11" t="str">
        <f t="shared" si="5"/>
        <v xml:space="preserve"> </v>
      </c>
      <c r="E11">
        <f t="shared" si="6"/>
        <v>79.989999999999995</v>
      </c>
      <c r="F11" t="str">
        <f t="shared" si="7"/>
        <v/>
      </c>
      <c r="G11" t="str">
        <f t="shared" si="0"/>
        <v xml:space="preserve"> </v>
      </c>
      <c r="H11" t="str">
        <f t="shared" si="3"/>
        <v/>
      </c>
      <c r="I11" t="str">
        <f t="shared" si="4"/>
        <v/>
      </c>
      <c r="K11">
        <f>Table1[[#This Row],[Quantity]]</f>
        <v>1</v>
      </c>
      <c r="L11" t="str">
        <f>Table1[[#This Row],[Category]]</f>
        <v>Electronics</v>
      </c>
      <c r="M11" t="str">
        <f>Table1[[#This Row],[Product_Name]]</f>
        <v>Laptop</v>
      </c>
      <c r="N11" t="str">
        <f t="shared" si="10"/>
        <v>no</v>
      </c>
      <c r="O11" t="str">
        <f t="shared" si="8"/>
        <v>no</v>
      </c>
      <c r="P11" t="str">
        <f t="shared" si="9"/>
        <v>no</v>
      </c>
      <c r="R11" s="21" t="s">
        <v>20</v>
      </c>
      <c r="S11">
        <v>88</v>
      </c>
    </row>
    <row r="12" spans="1:19" x14ac:dyDescent="0.3">
      <c r="A12" s="7" t="s">
        <v>51</v>
      </c>
      <c r="B12" s="7" t="s">
        <v>35</v>
      </c>
      <c r="C12" s="14">
        <v>79.989999999999995</v>
      </c>
      <c r="D12" t="str">
        <f t="shared" si="5"/>
        <v xml:space="preserve"> </v>
      </c>
      <c r="E12">
        <f t="shared" si="6"/>
        <v>79.989999999999995</v>
      </c>
      <c r="F12" t="str">
        <f t="shared" si="7"/>
        <v/>
      </c>
      <c r="G12" t="str">
        <f t="shared" si="0"/>
        <v xml:space="preserve"> </v>
      </c>
      <c r="H12" t="str">
        <f t="shared" si="3"/>
        <v/>
      </c>
      <c r="I12" t="str">
        <f t="shared" si="4"/>
        <v/>
      </c>
      <c r="K12">
        <f>Table1[[#This Row],[Quantity]]</f>
        <v>1</v>
      </c>
      <c r="L12" t="str">
        <f>Table1[[#This Row],[Category]]</f>
        <v>Appliances</v>
      </c>
      <c r="M12" t="str">
        <f>Table1[[#This Row],[Product_Name]]</f>
        <v>Coffee Maker</v>
      </c>
      <c r="N12" t="str">
        <f t="shared" si="10"/>
        <v>no</v>
      </c>
      <c r="O12" t="str">
        <f t="shared" si="8"/>
        <v>no</v>
      </c>
      <c r="P12" t="str">
        <f t="shared" si="9"/>
        <v>no</v>
      </c>
      <c r="R12" s="21" t="s">
        <v>83</v>
      </c>
      <c r="S12">
        <v>96</v>
      </c>
    </row>
    <row r="13" spans="1:19" x14ac:dyDescent="0.3">
      <c r="A13" s="8" t="s">
        <v>51</v>
      </c>
      <c r="B13" s="7" t="s">
        <v>35</v>
      </c>
      <c r="C13" s="14">
        <v>79.989999999999995</v>
      </c>
      <c r="D13" t="str">
        <f t="shared" si="5"/>
        <v xml:space="preserve"> </v>
      </c>
      <c r="E13">
        <f t="shared" si="6"/>
        <v>79.989999999999995</v>
      </c>
      <c r="F13" t="str">
        <f t="shared" si="7"/>
        <v/>
      </c>
      <c r="G13" t="str">
        <f t="shared" si="0"/>
        <v xml:space="preserve"> </v>
      </c>
      <c r="H13" t="str">
        <f t="shared" si="3"/>
        <v/>
      </c>
      <c r="I13" t="str">
        <f t="shared" si="4"/>
        <v/>
      </c>
      <c r="K13">
        <f>Table1[[#This Row],[Quantity]]</f>
        <v>1</v>
      </c>
      <c r="L13" t="str">
        <f>Table1[[#This Row],[Category]]</f>
        <v>Furniture</v>
      </c>
      <c r="M13" t="str">
        <f>Table1[[#This Row],[Product_Name]]</f>
        <v>Bookshelf</v>
      </c>
      <c r="N13" t="str">
        <f t="shared" si="10"/>
        <v>no</v>
      </c>
      <c r="O13" t="str">
        <f t="shared" si="8"/>
        <v>no</v>
      </c>
      <c r="P13" t="str">
        <f t="shared" si="9"/>
        <v>no</v>
      </c>
      <c r="R13" s="16" t="s">
        <v>48</v>
      </c>
      <c r="S13">
        <v>232</v>
      </c>
    </row>
    <row r="14" spans="1:19" x14ac:dyDescent="0.3">
      <c r="A14" s="7" t="s">
        <v>58</v>
      </c>
      <c r="B14" s="7" t="s">
        <v>21</v>
      </c>
      <c r="C14" s="14">
        <v>89.99</v>
      </c>
      <c r="D14">
        <f t="shared" si="5"/>
        <v>89.99</v>
      </c>
      <c r="E14" t="str">
        <f t="shared" si="6"/>
        <v xml:space="preserve"> </v>
      </c>
      <c r="F14" t="str">
        <f t="shared" si="7"/>
        <v/>
      </c>
      <c r="G14" t="str">
        <f t="shared" si="0"/>
        <v xml:space="preserve"> </v>
      </c>
      <c r="H14" t="str">
        <f t="shared" si="3"/>
        <v/>
      </c>
      <c r="I14" t="str">
        <f t="shared" si="4"/>
        <v/>
      </c>
      <c r="K14">
        <f>Table1[[#This Row],[Quantity]]</f>
        <v>1</v>
      </c>
      <c r="L14" t="str">
        <f>Table1[[#This Row],[Category]]</f>
        <v>Furniture</v>
      </c>
      <c r="M14" t="str">
        <f>Table1[[#This Row],[Product_Name]]</f>
        <v>Bookshelf</v>
      </c>
      <c r="N14" t="str">
        <f t="shared" si="10"/>
        <v>no</v>
      </c>
      <c r="O14" t="str">
        <f t="shared" si="8"/>
        <v>no</v>
      </c>
      <c r="P14" t="str">
        <f t="shared" si="9"/>
        <v>no</v>
      </c>
      <c r="R14" s="21" t="s">
        <v>47</v>
      </c>
      <c r="S14">
        <v>102</v>
      </c>
    </row>
    <row r="15" spans="1:19" x14ac:dyDescent="0.3">
      <c r="A15" s="8" t="s">
        <v>62</v>
      </c>
      <c r="B15" s="8" t="s">
        <v>21</v>
      </c>
      <c r="C15" s="15">
        <v>89.99</v>
      </c>
      <c r="D15">
        <f t="shared" si="5"/>
        <v>89.99</v>
      </c>
      <c r="E15" t="str">
        <f t="shared" si="6"/>
        <v xml:space="preserve"> </v>
      </c>
      <c r="F15" t="str">
        <f t="shared" si="7"/>
        <v/>
      </c>
      <c r="G15" t="str">
        <f t="shared" si="0"/>
        <v xml:space="preserve"> </v>
      </c>
      <c r="I15" t="str">
        <f t="shared" si="4"/>
        <v/>
      </c>
      <c r="K15">
        <f>Table1[[#This Row],[Quantity]]</f>
        <v>1</v>
      </c>
      <c r="L15" t="str">
        <f>Table1[[#This Row],[Category]]</f>
        <v>Electronics</v>
      </c>
      <c r="M15" t="str">
        <f>Table1[[#This Row],[Product_Name]]</f>
        <v>Keyboard</v>
      </c>
      <c r="N15" t="str">
        <f t="shared" si="10"/>
        <v>no</v>
      </c>
      <c r="O15" t="str">
        <f t="shared" si="8"/>
        <v>no</v>
      </c>
      <c r="P15" t="str">
        <f t="shared" si="9"/>
        <v>no</v>
      </c>
      <c r="R15" s="21" t="s">
        <v>108</v>
      </c>
      <c r="S15">
        <v>78</v>
      </c>
    </row>
    <row r="16" spans="1:19" x14ac:dyDescent="0.3">
      <c r="A16" s="7" t="s">
        <v>68</v>
      </c>
      <c r="B16" s="8" t="s">
        <v>21</v>
      </c>
      <c r="C16" s="15">
        <v>89.99</v>
      </c>
      <c r="D16">
        <f t="shared" si="5"/>
        <v>89.99</v>
      </c>
      <c r="E16" t="str">
        <f t="shared" si="6"/>
        <v xml:space="preserve"> </v>
      </c>
      <c r="F16" t="str">
        <f t="shared" si="7"/>
        <v/>
      </c>
      <c r="K16">
        <f>Table1[[#This Row],[Quantity]]</f>
        <v>1</v>
      </c>
      <c r="L16" t="str">
        <f>Table1[[#This Row],[Category]]</f>
        <v>Appliances</v>
      </c>
      <c r="M16" t="str">
        <f>Table1[[#This Row],[Product_Name]]</f>
        <v>Coffee Maker</v>
      </c>
      <c r="N16" t="str">
        <f t="shared" si="10"/>
        <v>no</v>
      </c>
      <c r="O16" t="str">
        <f t="shared" si="8"/>
        <v>no</v>
      </c>
      <c r="P16" t="str">
        <f t="shared" si="9"/>
        <v>no</v>
      </c>
      <c r="R16" s="21" t="s">
        <v>129</v>
      </c>
      <c r="S16">
        <v>52</v>
      </c>
    </row>
    <row r="17" spans="1:19" x14ac:dyDescent="0.3">
      <c r="A17" s="8" t="s">
        <v>71</v>
      </c>
      <c r="B17" s="7" t="s">
        <v>21</v>
      </c>
      <c r="C17" s="14">
        <v>89.99</v>
      </c>
      <c r="D17">
        <f t="shared" si="5"/>
        <v>89.99</v>
      </c>
      <c r="E17" t="str">
        <f t="shared" si="6"/>
        <v xml:space="preserve"> </v>
      </c>
      <c r="F17" t="str">
        <f t="shared" si="7"/>
        <v/>
      </c>
      <c r="K17">
        <f>Table1[[#This Row],[Quantity]]</f>
        <v>1</v>
      </c>
      <c r="L17" t="str">
        <f>Table1[[#This Row],[Category]]</f>
        <v>Electronics</v>
      </c>
      <c r="M17" t="str">
        <f>Table1[[#This Row],[Product_Name]]</f>
        <v>Smartphone</v>
      </c>
      <c r="N17" t="str">
        <f t="shared" si="10"/>
        <v>no</v>
      </c>
      <c r="O17" t="str">
        <f t="shared" si="8"/>
        <v>no</v>
      </c>
      <c r="P17" t="str">
        <f t="shared" si="9"/>
        <v>no</v>
      </c>
      <c r="R17" s="16" t="s">
        <v>413</v>
      </c>
      <c r="S17">
        <v>753</v>
      </c>
    </row>
    <row r="18" spans="1:19" x14ac:dyDescent="0.3">
      <c r="A18" s="7" t="s">
        <v>41</v>
      </c>
      <c r="B18" s="7" t="s">
        <v>21</v>
      </c>
      <c r="C18" s="14">
        <v>89.99</v>
      </c>
      <c r="D18">
        <f t="shared" si="5"/>
        <v>89.99</v>
      </c>
      <c r="E18" t="str">
        <f t="shared" si="6"/>
        <v xml:space="preserve"> </v>
      </c>
      <c r="F18" t="str">
        <f t="shared" si="7"/>
        <v/>
      </c>
      <c r="K18">
        <f>Table1[[#This Row],[Quantity]]</f>
        <v>1</v>
      </c>
      <c r="L18" t="str">
        <f>Table1[[#This Row],[Category]]</f>
        <v>Electronics</v>
      </c>
      <c r="M18" t="str">
        <f>Table1[[#This Row],[Product_Name]]</f>
        <v>Monitor</v>
      </c>
      <c r="N18" t="str">
        <f t="shared" si="10"/>
        <v>no</v>
      </c>
      <c r="O18" t="str">
        <f t="shared" si="8"/>
        <v>no</v>
      </c>
      <c r="P18" t="str">
        <f t="shared" si="9"/>
        <v>no</v>
      </c>
    </row>
    <row r="19" spans="1:19" x14ac:dyDescent="0.3">
      <c r="A19" s="8" t="s">
        <v>75</v>
      </c>
      <c r="B19" s="7" t="s">
        <v>21</v>
      </c>
      <c r="C19" s="14">
        <v>89.99</v>
      </c>
      <c r="D19">
        <f t="shared" si="5"/>
        <v>89.99</v>
      </c>
      <c r="E19" t="str">
        <f t="shared" si="6"/>
        <v xml:space="preserve"> </v>
      </c>
      <c r="F19" t="str">
        <f t="shared" si="7"/>
        <v/>
      </c>
      <c r="K19">
        <f>Table1[[#This Row],[Quantity]]</f>
        <v>1</v>
      </c>
      <c r="L19" t="str">
        <f>Table1[[#This Row],[Category]]</f>
        <v>Furniture</v>
      </c>
      <c r="M19" t="str">
        <f>Table1[[#This Row],[Product_Name]]</f>
        <v>Bookshelf</v>
      </c>
      <c r="N19" t="str">
        <f t="shared" si="10"/>
        <v>no</v>
      </c>
      <c r="O19" t="str">
        <f t="shared" si="8"/>
        <v>no</v>
      </c>
      <c r="P19" t="str">
        <f t="shared" si="9"/>
        <v>no</v>
      </c>
    </row>
    <row r="20" spans="1:19" x14ac:dyDescent="0.3">
      <c r="A20" s="7" t="s">
        <v>78</v>
      </c>
      <c r="B20" s="7" t="s">
        <v>21</v>
      </c>
      <c r="C20" s="14">
        <v>89.99</v>
      </c>
      <c r="D20">
        <f t="shared" si="5"/>
        <v>89.99</v>
      </c>
      <c r="E20" t="str">
        <f t="shared" si="6"/>
        <v xml:space="preserve"> </v>
      </c>
      <c r="F20" t="str">
        <f t="shared" si="7"/>
        <v/>
      </c>
      <c r="G20" t="str">
        <f t="shared" ref="G20:G83" si="11">IF(C20=4499.95,A20," ")</f>
        <v xml:space="preserve"> </v>
      </c>
      <c r="H20" t="str">
        <f t="shared" ref="H20:H83" si="12">IF(C20=$B$4,A20,"")</f>
        <v/>
      </c>
      <c r="I20" t="str">
        <f t="shared" ref="I20:I83" si="13">IF(C20=$B$5,A20,"")</f>
        <v/>
      </c>
      <c r="K20">
        <f>Table1[[#This Row],[Quantity]]</f>
        <v>1</v>
      </c>
      <c r="L20" t="str">
        <f>Table1[[#This Row],[Category]]</f>
        <v>Electronics</v>
      </c>
      <c r="M20" t="str">
        <f>Table1[[#This Row],[Product_Name]]</f>
        <v>Monitor</v>
      </c>
      <c r="N20" t="str">
        <f t="shared" si="10"/>
        <v>no</v>
      </c>
      <c r="O20" t="str">
        <f t="shared" si="8"/>
        <v>no</v>
      </c>
      <c r="P20" t="str">
        <f t="shared" si="9"/>
        <v>no</v>
      </c>
    </row>
    <row r="21" spans="1:19" x14ac:dyDescent="0.3">
      <c r="A21" s="8" t="s">
        <v>81</v>
      </c>
      <c r="B21" s="8" t="s">
        <v>21</v>
      </c>
      <c r="C21" s="15">
        <v>89.99</v>
      </c>
      <c r="D21">
        <f t="shared" si="5"/>
        <v>89.99</v>
      </c>
      <c r="E21" t="str">
        <f t="shared" si="6"/>
        <v xml:space="preserve"> </v>
      </c>
      <c r="F21" t="str">
        <f t="shared" si="7"/>
        <v/>
      </c>
      <c r="G21" t="str">
        <f t="shared" si="11"/>
        <v xml:space="preserve"> </v>
      </c>
      <c r="H21" t="str">
        <f t="shared" si="12"/>
        <v/>
      </c>
      <c r="I21" t="str">
        <f t="shared" si="13"/>
        <v/>
      </c>
      <c r="K21">
        <f>Table1[[#This Row],[Quantity]]</f>
        <v>1</v>
      </c>
      <c r="L21" t="str">
        <f>Table1[[#This Row],[Category]]</f>
        <v>Furniture</v>
      </c>
      <c r="M21" t="str">
        <f>Table1[[#This Row],[Product_Name]]</f>
        <v>Desk</v>
      </c>
      <c r="N21" t="str">
        <f t="shared" si="10"/>
        <v>no</v>
      </c>
      <c r="O21" t="str">
        <f t="shared" si="8"/>
        <v>no</v>
      </c>
      <c r="P21" t="str">
        <f t="shared" si="9"/>
        <v>no</v>
      </c>
    </row>
    <row r="22" spans="1:19" x14ac:dyDescent="0.3">
      <c r="A22" s="7" t="s">
        <v>86</v>
      </c>
      <c r="B22" s="7" t="s">
        <v>35</v>
      </c>
      <c r="C22" s="14">
        <v>119.98</v>
      </c>
      <c r="D22" t="str">
        <f t="shared" si="5"/>
        <v xml:space="preserve"> </v>
      </c>
      <c r="E22">
        <f t="shared" si="6"/>
        <v>119.98</v>
      </c>
      <c r="F22" t="str">
        <f t="shared" si="7"/>
        <v/>
      </c>
      <c r="G22" t="str">
        <f t="shared" si="11"/>
        <v xml:space="preserve"> </v>
      </c>
      <c r="H22" t="str">
        <f t="shared" si="12"/>
        <v/>
      </c>
      <c r="I22" t="str">
        <f t="shared" si="13"/>
        <v/>
      </c>
      <c r="K22">
        <f>Table1[[#This Row],[Quantity]]</f>
        <v>1</v>
      </c>
      <c r="L22" t="str">
        <f>Table1[[#This Row],[Category]]</f>
        <v>Electronics</v>
      </c>
      <c r="M22" t="str">
        <f>Table1[[#This Row],[Product_Name]]</f>
        <v>Headphones</v>
      </c>
      <c r="N22" t="str">
        <f t="shared" si="10"/>
        <v>no</v>
      </c>
      <c r="O22" t="str">
        <f t="shared" si="8"/>
        <v>no</v>
      </c>
      <c r="P22" t="str">
        <f t="shared" si="9"/>
        <v>no</v>
      </c>
    </row>
    <row r="23" spans="1:19" x14ac:dyDescent="0.3">
      <c r="A23" s="8" t="s">
        <v>89</v>
      </c>
      <c r="B23" s="8" t="s">
        <v>35</v>
      </c>
      <c r="C23" s="15">
        <v>119.98</v>
      </c>
      <c r="D23" t="str">
        <f t="shared" si="5"/>
        <v xml:space="preserve"> </v>
      </c>
      <c r="E23">
        <f t="shared" si="6"/>
        <v>119.98</v>
      </c>
      <c r="F23" t="str">
        <f t="shared" si="7"/>
        <v/>
      </c>
      <c r="G23" t="str">
        <f t="shared" si="11"/>
        <v xml:space="preserve"> </v>
      </c>
      <c r="H23" t="str">
        <f t="shared" si="12"/>
        <v/>
      </c>
      <c r="I23" t="str">
        <f t="shared" si="13"/>
        <v/>
      </c>
      <c r="K23">
        <f>Table1[[#This Row],[Quantity]]</f>
        <v>1</v>
      </c>
      <c r="L23" t="str">
        <f>Table1[[#This Row],[Category]]</f>
        <v>Appliances</v>
      </c>
      <c r="M23" t="str">
        <f>Table1[[#This Row],[Product_Name]]</f>
        <v>Blender</v>
      </c>
      <c r="N23" t="str">
        <f t="shared" si="10"/>
        <v>no</v>
      </c>
      <c r="O23" t="str">
        <f t="shared" si="8"/>
        <v>no</v>
      </c>
      <c r="P23" t="str">
        <f t="shared" si="9"/>
        <v>no</v>
      </c>
    </row>
    <row r="24" spans="1:19" x14ac:dyDescent="0.3">
      <c r="A24" s="7" t="s">
        <v>92</v>
      </c>
      <c r="B24" s="8" t="s">
        <v>35</v>
      </c>
      <c r="C24" s="15">
        <v>119.98</v>
      </c>
      <c r="D24" t="str">
        <f t="shared" si="5"/>
        <v xml:space="preserve"> </v>
      </c>
      <c r="E24">
        <f t="shared" si="6"/>
        <v>119.98</v>
      </c>
      <c r="F24" t="str">
        <f t="shared" si="7"/>
        <v/>
      </c>
      <c r="G24" t="str">
        <f t="shared" si="11"/>
        <v xml:space="preserve"> </v>
      </c>
      <c r="H24" t="str">
        <f t="shared" si="12"/>
        <v/>
      </c>
      <c r="I24" t="str">
        <f t="shared" si="13"/>
        <v/>
      </c>
      <c r="K24">
        <f>Table1[[#This Row],[Quantity]]</f>
        <v>1</v>
      </c>
      <c r="L24" t="str">
        <f>Table1[[#This Row],[Category]]</f>
        <v>Furniture</v>
      </c>
      <c r="M24" t="str">
        <f>Table1[[#This Row],[Product_Name]]</f>
        <v>Desk</v>
      </c>
      <c r="N24" t="str">
        <f t="shared" si="10"/>
        <v>no</v>
      </c>
      <c r="O24" t="str">
        <f t="shared" si="8"/>
        <v>no</v>
      </c>
      <c r="P24" t="str">
        <f t="shared" si="9"/>
        <v>no</v>
      </c>
    </row>
    <row r="25" spans="1:19" x14ac:dyDescent="0.3">
      <c r="A25" s="8" t="s">
        <v>89</v>
      </c>
      <c r="B25" s="7" t="s">
        <v>35</v>
      </c>
      <c r="C25" s="14">
        <v>119.98</v>
      </c>
      <c r="D25" t="str">
        <f t="shared" si="5"/>
        <v xml:space="preserve"> </v>
      </c>
      <c r="E25">
        <f t="shared" si="6"/>
        <v>119.98</v>
      </c>
      <c r="F25" t="str">
        <f t="shared" si="7"/>
        <v/>
      </c>
      <c r="G25" t="str">
        <f t="shared" si="11"/>
        <v xml:space="preserve"> </v>
      </c>
      <c r="H25" t="str">
        <f t="shared" si="12"/>
        <v/>
      </c>
      <c r="I25" t="str">
        <f t="shared" si="13"/>
        <v/>
      </c>
      <c r="K25">
        <f>Table1[[#This Row],[Quantity]]</f>
        <v>1</v>
      </c>
      <c r="L25" t="str">
        <f>Table1[[#This Row],[Category]]</f>
        <v>Electronics</v>
      </c>
      <c r="M25" t="str">
        <f>Table1[[#This Row],[Product_Name]]</f>
        <v>Laptop</v>
      </c>
      <c r="N25" t="str">
        <f t="shared" si="10"/>
        <v>no</v>
      </c>
      <c r="O25" t="str">
        <f t="shared" si="8"/>
        <v>no</v>
      </c>
      <c r="P25" t="str">
        <f t="shared" si="9"/>
        <v>no</v>
      </c>
    </row>
    <row r="26" spans="1:19" x14ac:dyDescent="0.3">
      <c r="A26" s="7" t="s">
        <v>96</v>
      </c>
      <c r="B26" s="7" t="s">
        <v>35</v>
      </c>
      <c r="C26" s="14">
        <v>119.98</v>
      </c>
      <c r="D26" t="str">
        <f t="shared" si="5"/>
        <v xml:space="preserve"> </v>
      </c>
      <c r="E26">
        <f t="shared" si="6"/>
        <v>119.98</v>
      </c>
      <c r="F26" t="str">
        <f t="shared" si="7"/>
        <v/>
      </c>
      <c r="G26" t="str">
        <f t="shared" si="11"/>
        <v xml:space="preserve"> </v>
      </c>
      <c r="H26" t="str">
        <f t="shared" si="12"/>
        <v/>
      </c>
      <c r="I26" t="str">
        <f t="shared" si="13"/>
        <v/>
      </c>
      <c r="K26">
        <f>Table1[[#This Row],[Quantity]]</f>
        <v>1</v>
      </c>
      <c r="L26" t="str">
        <f>Table1[[#This Row],[Category]]</f>
        <v>Electronics</v>
      </c>
      <c r="M26" t="str">
        <f>Table1[[#This Row],[Product_Name]]</f>
        <v>Monitor</v>
      </c>
      <c r="N26" t="str">
        <f t="shared" si="10"/>
        <v>no</v>
      </c>
      <c r="O26" t="str">
        <f t="shared" si="8"/>
        <v>no</v>
      </c>
      <c r="P26" t="str">
        <f t="shared" si="9"/>
        <v>no</v>
      </c>
    </row>
    <row r="27" spans="1:19" x14ac:dyDescent="0.3">
      <c r="A27" s="8" t="s">
        <v>99</v>
      </c>
      <c r="B27" s="8" t="s">
        <v>35</v>
      </c>
      <c r="C27" s="15">
        <v>119.98</v>
      </c>
      <c r="D27" t="str">
        <f t="shared" si="5"/>
        <v xml:space="preserve"> </v>
      </c>
      <c r="E27">
        <f t="shared" si="6"/>
        <v>119.98</v>
      </c>
      <c r="F27" t="str">
        <f t="shared" si="7"/>
        <v/>
      </c>
      <c r="G27" t="str">
        <f t="shared" si="11"/>
        <v xml:space="preserve"> </v>
      </c>
      <c r="H27" t="str">
        <f t="shared" si="12"/>
        <v/>
      </c>
      <c r="I27" t="str">
        <f t="shared" si="13"/>
        <v/>
      </c>
      <c r="K27">
        <f>Table1[[#This Row],[Quantity]]</f>
        <v>1</v>
      </c>
      <c r="L27" t="str">
        <f>Table1[[#This Row],[Category]]</f>
        <v>Furniture</v>
      </c>
      <c r="M27" t="str">
        <f>Table1[[#This Row],[Product_Name]]</f>
        <v>Office Chair</v>
      </c>
      <c r="N27" t="str">
        <f t="shared" si="10"/>
        <v>no</v>
      </c>
      <c r="O27" t="str">
        <f t="shared" si="8"/>
        <v>no</v>
      </c>
      <c r="P27" t="str">
        <f t="shared" si="9"/>
        <v>no</v>
      </c>
    </row>
    <row r="28" spans="1:19" x14ac:dyDescent="0.3">
      <c r="A28" s="7" t="s">
        <v>102</v>
      </c>
      <c r="B28" s="7" t="s">
        <v>35</v>
      </c>
      <c r="C28" s="14">
        <v>119.98</v>
      </c>
      <c r="D28" t="str">
        <f t="shared" si="5"/>
        <v xml:space="preserve"> </v>
      </c>
      <c r="E28">
        <f t="shared" si="6"/>
        <v>119.98</v>
      </c>
      <c r="F28" t="str">
        <f t="shared" si="7"/>
        <v/>
      </c>
      <c r="G28" t="str">
        <f t="shared" si="11"/>
        <v xml:space="preserve"> </v>
      </c>
      <c r="H28" t="str">
        <f t="shared" si="12"/>
        <v/>
      </c>
      <c r="I28" t="str">
        <f t="shared" si="13"/>
        <v/>
      </c>
      <c r="K28">
        <f>Table1[[#This Row],[Quantity]]</f>
        <v>1</v>
      </c>
      <c r="L28" t="str">
        <f>Table1[[#This Row],[Category]]</f>
        <v>Furniture</v>
      </c>
      <c r="M28" t="str">
        <f>Table1[[#This Row],[Product_Name]]</f>
        <v>Bookshelf</v>
      </c>
      <c r="N28" t="str">
        <f t="shared" si="10"/>
        <v>no</v>
      </c>
      <c r="O28" t="str">
        <f t="shared" si="8"/>
        <v>no</v>
      </c>
      <c r="P28" t="str">
        <f t="shared" si="9"/>
        <v>no</v>
      </c>
    </row>
    <row r="29" spans="1:19" x14ac:dyDescent="0.3">
      <c r="A29" s="8" t="s">
        <v>105</v>
      </c>
      <c r="B29" s="8" t="s">
        <v>48</v>
      </c>
      <c r="C29" s="15">
        <v>149.99</v>
      </c>
      <c r="D29" t="str">
        <f t="shared" si="5"/>
        <v xml:space="preserve"> </v>
      </c>
      <c r="E29" t="str">
        <f t="shared" si="6"/>
        <v xml:space="preserve"> </v>
      </c>
      <c r="F29">
        <f t="shared" si="7"/>
        <v>149.99</v>
      </c>
      <c r="G29" t="str">
        <f t="shared" si="11"/>
        <v xml:space="preserve"> </v>
      </c>
      <c r="H29" t="str">
        <f t="shared" si="12"/>
        <v/>
      </c>
      <c r="I29" t="str">
        <f t="shared" si="13"/>
        <v/>
      </c>
      <c r="K29">
        <f>Table1[[#This Row],[Quantity]]</f>
        <v>1</v>
      </c>
      <c r="L29" t="str">
        <f>Table1[[#This Row],[Category]]</f>
        <v>Appliances</v>
      </c>
      <c r="M29" t="str">
        <f>Table1[[#This Row],[Product_Name]]</f>
        <v>Coffee Maker</v>
      </c>
      <c r="N29" t="str">
        <f t="shared" si="10"/>
        <v>no</v>
      </c>
      <c r="O29" t="str">
        <f t="shared" si="8"/>
        <v>no</v>
      </c>
      <c r="P29" t="str">
        <f t="shared" si="9"/>
        <v>no</v>
      </c>
    </row>
    <row r="30" spans="1:19" x14ac:dyDescent="0.3">
      <c r="A30" s="7" t="s">
        <v>89</v>
      </c>
      <c r="B30" s="7" t="s">
        <v>21</v>
      </c>
      <c r="C30" s="14">
        <v>149.99</v>
      </c>
      <c r="D30">
        <f t="shared" si="5"/>
        <v>149.99</v>
      </c>
      <c r="E30" t="str">
        <f t="shared" si="6"/>
        <v xml:space="preserve"> </v>
      </c>
      <c r="F30" t="str">
        <f t="shared" si="7"/>
        <v/>
      </c>
      <c r="G30" t="str">
        <f t="shared" si="11"/>
        <v xml:space="preserve"> </v>
      </c>
      <c r="H30" t="str">
        <f t="shared" si="12"/>
        <v/>
      </c>
      <c r="I30" t="str">
        <f t="shared" si="13"/>
        <v/>
      </c>
      <c r="K30">
        <f>Table1[[#This Row],[Quantity]]</f>
        <v>1</v>
      </c>
      <c r="L30" t="str">
        <f>Table1[[#This Row],[Category]]</f>
        <v>Electronics</v>
      </c>
      <c r="M30" t="str">
        <f>Table1[[#This Row],[Product_Name]]</f>
        <v>Keyboard</v>
      </c>
      <c r="N30" t="str">
        <f t="shared" si="10"/>
        <v>no</v>
      </c>
      <c r="O30" t="str">
        <f t="shared" si="8"/>
        <v>no</v>
      </c>
      <c r="P30" t="str">
        <f t="shared" si="9"/>
        <v>no</v>
      </c>
    </row>
    <row r="31" spans="1:19" x14ac:dyDescent="0.3">
      <c r="A31" s="8" t="s">
        <v>111</v>
      </c>
      <c r="B31" s="8" t="s">
        <v>21</v>
      </c>
      <c r="C31" s="15">
        <v>149.99</v>
      </c>
      <c r="D31">
        <f t="shared" si="5"/>
        <v>149.99</v>
      </c>
      <c r="E31" t="str">
        <f t="shared" si="6"/>
        <v xml:space="preserve"> </v>
      </c>
      <c r="F31" t="str">
        <f t="shared" si="7"/>
        <v/>
      </c>
      <c r="G31" t="str">
        <f t="shared" si="11"/>
        <v xml:space="preserve"> </v>
      </c>
      <c r="H31" t="str">
        <f t="shared" si="12"/>
        <v/>
      </c>
      <c r="I31" t="str">
        <f t="shared" si="13"/>
        <v/>
      </c>
      <c r="K31">
        <f>Table1[[#This Row],[Quantity]]</f>
        <v>1</v>
      </c>
      <c r="L31" t="str">
        <f>Table1[[#This Row],[Category]]</f>
        <v>Furniture</v>
      </c>
      <c r="M31" t="str">
        <f>Table1[[#This Row],[Product_Name]]</f>
        <v>Desk</v>
      </c>
      <c r="N31" t="str">
        <f t="shared" si="10"/>
        <v>no</v>
      </c>
      <c r="O31" t="str">
        <f t="shared" si="8"/>
        <v>no</v>
      </c>
      <c r="P31" t="str">
        <f t="shared" si="9"/>
        <v>no</v>
      </c>
    </row>
    <row r="32" spans="1:19" x14ac:dyDescent="0.3">
      <c r="A32" s="7" t="s">
        <v>71</v>
      </c>
      <c r="B32" s="8" t="s">
        <v>48</v>
      </c>
      <c r="C32" s="15">
        <v>149.99</v>
      </c>
      <c r="D32" t="str">
        <f t="shared" si="5"/>
        <v xml:space="preserve"> </v>
      </c>
      <c r="E32" t="str">
        <f t="shared" si="6"/>
        <v xml:space="preserve"> </v>
      </c>
      <c r="F32">
        <f t="shared" si="7"/>
        <v>149.99</v>
      </c>
      <c r="G32" t="str">
        <f t="shared" si="11"/>
        <v xml:space="preserve"> </v>
      </c>
      <c r="H32" t="str">
        <f t="shared" si="12"/>
        <v/>
      </c>
      <c r="I32" t="str">
        <f t="shared" si="13"/>
        <v/>
      </c>
      <c r="K32">
        <f>Table1[[#This Row],[Quantity]]</f>
        <v>1</v>
      </c>
      <c r="L32" t="str">
        <f>Table1[[#This Row],[Category]]</f>
        <v>Electronics</v>
      </c>
      <c r="M32" t="str">
        <f>Table1[[#This Row],[Product_Name]]</f>
        <v>Keyboard</v>
      </c>
      <c r="N32" t="str">
        <f t="shared" si="10"/>
        <v>no</v>
      </c>
      <c r="O32" t="str">
        <f t="shared" si="8"/>
        <v>no</v>
      </c>
      <c r="P32" t="str">
        <f t="shared" si="9"/>
        <v>no</v>
      </c>
    </row>
    <row r="33" spans="1:16" x14ac:dyDescent="0.3">
      <c r="A33" s="8" t="s">
        <v>115</v>
      </c>
      <c r="B33" s="7" t="s">
        <v>48</v>
      </c>
      <c r="C33" s="14">
        <v>149.99</v>
      </c>
      <c r="D33" t="str">
        <f t="shared" si="5"/>
        <v xml:space="preserve"> </v>
      </c>
      <c r="E33" t="str">
        <f t="shared" si="6"/>
        <v xml:space="preserve"> </v>
      </c>
      <c r="F33">
        <f t="shared" si="7"/>
        <v>149.99</v>
      </c>
      <c r="G33" t="str">
        <f t="shared" si="11"/>
        <v xml:space="preserve"> </v>
      </c>
      <c r="H33" t="str">
        <f t="shared" si="12"/>
        <v/>
      </c>
      <c r="I33" t="str">
        <f t="shared" si="13"/>
        <v/>
      </c>
      <c r="K33">
        <f>Table1[[#This Row],[Quantity]]</f>
        <v>1</v>
      </c>
      <c r="L33" t="str">
        <f>Table1[[#This Row],[Category]]</f>
        <v>Electronics</v>
      </c>
      <c r="M33" t="str">
        <f>Table1[[#This Row],[Product_Name]]</f>
        <v>Laptop</v>
      </c>
      <c r="N33" t="str">
        <f t="shared" si="10"/>
        <v>no</v>
      </c>
      <c r="O33" t="str">
        <f t="shared" si="8"/>
        <v>no</v>
      </c>
      <c r="P33" t="str">
        <f t="shared" si="9"/>
        <v>no</v>
      </c>
    </row>
    <row r="34" spans="1:16" x14ac:dyDescent="0.3">
      <c r="A34" s="7" t="s">
        <v>102</v>
      </c>
      <c r="B34" s="8" t="s">
        <v>48</v>
      </c>
      <c r="C34" s="15">
        <v>149.99</v>
      </c>
      <c r="D34" t="str">
        <f t="shared" si="5"/>
        <v xml:space="preserve"> </v>
      </c>
      <c r="E34" t="str">
        <f t="shared" si="6"/>
        <v xml:space="preserve"> </v>
      </c>
      <c r="F34">
        <f t="shared" si="7"/>
        <v>149.99</v>
      </c>
      <c r="G34" t="str">
        <f t="shared" si="11"/>
        <v xml:space="preserve"> </v>
      </c>
      <c r="H34" t="str">
        <f t="shared" si="12"/>
        <v/>
      </c>
      <c r="I34" t="str">
        <f t="shared" si="13"/>
        <v/>
      </c>
      <c r="K34">
        <f>Table1[[#This Row],[Quantity]]</f>
        <v>1</v>
      </c>
      <c r="L34" t="str">
        <f>Table1[[#This Row],[Category]]</f>
        <v>Electronics</v>
      </c>
      <c r="M34" t="str">
        <f>Table1[[#This Row],[Product_Name]]</f>
        <v>Laptop</v>
      </c>
      <c r="N34" t="str">
        <f t="shared" si="10"/>
        <v>no</v>
      </c>
      <c r="O34" t="str">
        <f t="shared" si="8"/>
        <v>no</v>
      </c>
      <c r="P34" t="str">
        <f t="shared" si="9"/>
        <v>no</v>
      </c>
    </row>
    <row r="35" spans="1:16" x14ac:dyDescent="0.3">
      <c r="A35" s="8" t="s">
        <v>123</v>
      </c>
      <c r="B35" s="8" t="s">
        <v>35</v>
      </c>
      <c r="C35" s="15">
        <v>179.97</v>
      </c>
      <c r="D35" t="str">
        <f t="shared" si="5"/>
        <v xml:space="preserve"> </v>
      </c>
      <c r="E35">
        <f t="shared" si="6"/>
        <v>179.97</v>
      </c>
      <c r="F35" t="str">
        <f t="shared" si="7"/>
        <v/>
      </c>
      <c r="G35" t="str">
        <f t="shared" si="11"/>
        <v xml:space="preserve"> </v>
      </c>
      <c r="H35" t="str">
        <f t="shared" si="12"/>
        <v/>
      </c>
      <c r="I35" t="str">
        <f t="shared" si="13"/>
        <v/>
      </c>
      <c r="K35">
        <f>Table1[[#This Row],[Quantity]]</f>
        <v>1</v>
      </c>
      <c r="L35" t="str">
        <f>Table1[[#This Row],[Category]]</f>
        <v>Appliances</v>
      </c>
      <c r="M35" t="str">
        <f>Table1[[#This Row],[Product_Name]]</f>
        <v>Blender</v>
      </c>
      <c r="N35" t="str">
        <f t="shared" si="10"/>
        <v>no</v>
      </c>
      <c r="O35" t="str">
        <f t="shared" si="8"/>
        <v>no</v>
      </c>
      <c r="P35" t="str">
        <f t="shared" si="9"/>
        <v>no</v>
      </c>
    </row>
    <row r="36" spans="1:16" x14ac:dyDescent="0.3">
      <c r="A36" s="7" t="s">
        <v>126</v>
      </c>
      <c r="B36" s="7" t="s">
        <v>35</v>
      </c>
      <c r="C36" s="14">
        <v>179.97</v>
      </c>
      <c r="D36" t="str">
        <f t="shared" si="5"/>
        <v xml:space="preserve"> </v>
      </c>
      <c r="E36">
        <f t="shared" si="6"/>
        <v>179.97</v>
      </c>
      <c r="F36" t="str">
        <f t="shared" si="7"/>
        <v/>
      </c>
      <c r="G36" t="str">
        <f t="shared" si="11"/>
        <v xml:space="preserve"> </v>
      </c>
      <c r="H36" t="str">
        <f t="shared" si="12"/>
        <v/>
      </c>
      <c r="I36" t="str">
        <f t="shared" si="13"/>
        <v/>
      </c>
      <c r="K36">
        <f>Table1[[#This Row],[Quantity]]</f>
        <v>1</v>
      </c>
      <c r="L36" t="str">
        <f>Table1[[#This Row],[Category]]</f>
        <v>Electronics</v>
      </c>
      <c r="M36" t="str">
        <f>Table1[[#This Row],[Product_Name]]</f>
        <v>Smartphone</v>
      </c>
      <c r="N36" t="str">
        <f t="shared" si="10"/>
        <v>no</v>
      </c>
      <c r="O36" t="str">
        <f t="shared" si="8"/>
        <v>no</v>
      </c>
      <c r="P36" t="str">
        <f t="shared" si="9"/>
        <v>no</v>
      </c>
    </row>
    <row r="37" spans="1:16" x14ac:dyDescent="0.3">
      <c r="A37" s="8" t="s">
        <v>58</v>
      </c>
      <c r="B37" s="7" t="s">
        <v>35</v>
      </c>
      <c r="C37" s="14">
        <v>179.97</v>
      </c>
      <c r="D37" t="str">
        <f t="shared" si="5"/>
        <v xml:space="preserve"> </v>
      </c>
      <c r="E37">
        <f t="shared" si="6"/>
        <v>179.97</v>
      </c>
      <c r="F37" t="str">
        <f t="shared" si="7"/>
        <v/>
      </c>
      <c r="G37" t="str">
        <f t="shared" si="11"/>
        <v xml:space="preserve"> </v>
      </c>
      <c r="H37" t="str">
        <f t="shared" si="12"/>
        <v/>
      </c>
      <c r="I37" t="str">
        <f t="shared" si="13"/>
        <v/>
      </c>
      <c r="K37">
        <f>Table1[[#This Row],[Quantity]]</f>
        <v>1</v>
      </c>
      <c r="L37" t="str">
        <f>Table1[[#This Row],[Category]]</f>
        <v>Electronics</v>
      </c>
      <c r="M37" t="str">
        <f>Table1[[#This Row],[Product_Name]]</f>
        <v>Smartphone</v>
      </c>
      <c r="N37" t="str">
        <f t="shared" si="10"/>
        <v>no</v>
      </c>
      <c r="O37" t="str">
        <f t="shared" si="8"/>
        <v>no</v>
      </c>
      <c r="P37" t="str">
        <f t="shared" si="9"/>
        <v>no</v>
      </c>
    </row>
    <row r="38" spans="1:16" x14ac:dyDescent="0.3">
      <c r="A38" s="7" t="s">
        <v>132</v>
      </c>
      <c r="B38" s="7" t="s">
        <v>35</v>
      </c>
      <c r="C38" s="14">
        <v>179.97</v>
      </c>
      <c r="D38" t="str">
        <f t="shared" si="5"/>
        <v xml:space="preserve"> </v>
      </c>
      <c r="E38">
        <f t="shared" si="6"/>
        <v>179.97</v>
      </c>
      <c r="F38" t="str">
        <f t="shared" si="7"/>
        <v/>
      </c>
      <c r="G38" t="str">
        <f t="shared" si="11"/>
        <v xml:space="preserve"> </v>
      </c>
      <c r="H38" t="str">
        <f t="shared" si="12"/>
        <v/>
      </c>
      <c r="I38" t="str">
        <f t="shared" si="13"/>
        <v/>
      </c>
      <c r="K38">
        <f>Table1[[#This Row],[Quantity]]</f>
        <v>1</v>
      </c>
      <c r="L38" t="str">
        <f>Table1[[#This Row],[Category]]</f>
        <v>Electronics</v>
      </c>
      <c r="M38" t="str">
        <f>Table1[[#This Row],[Product_Name]]</f>
        <v>Monitor</v>
      </c>
      <c r="N38" t="str">
        <f t="shared" si="10"/>
        <v>no</v>
      </c>
      <c r="O38" t="str">
        <f t="shared" si="8"/>
        <v>no</v>
      </c>
      <c r="P38" t="str">
        <f t="shared" si="9"/>
        <v>no</v>
      </c>
    </row>
    <row r="39" spans="1:16" x14ac:dyDescent="0.3">
      <c r="A39" s="8" t="s">
        <v>135</v>
      </c>
      <c r="B39" s="7" t="s">
        <v>35</v>
      </c>
      <c r="C39" s="14">
        <v>179.97</v>
      </c>
      <c r="D39" t="str">
        <f t="shared" si="5"/>
        <v xml:space="preserve"> </v>
      </c>
      <c r="E39">
        <f t="shared" si="6"/>
        <v>179.97</v>
      </c>
      <c r="F39" t="str">
        <f t="shared" si="7"/>
        <v/>
      </c>
      <c r="G39" t="str">
        <f t="shared" si="11"/>
        <v xml:space="preserve"> </v>
      </c>
      <c r="H39" t="str">
        <f t="shared" si="12"/>
        <v/>
      </c>
      <c r="I39" t="str">
        <f t="shared" si="13"/>
        <v/>
      </c>
      <c r="K39">
        <f>Table1[[#This Row],[Quantity]]</f>
        <v>1</v>
      </c>
      <c r="L39" t="str">
        <f>Table1[[#This Row],[Category]]</f>
        <v>Electronics</v>
      </c>
      <c r="M39" t="str">
        <f>Table1[[#This Row],[Product_Name]]</f>
        <v>Keyboard</v>
      </c>
      <c r="N39" t="str">
        <f t="shared" si="10"/>
        <v>no</v>
      </c>
      <c r="O39" t="str">
        <f t="shared" si="8"/>
        <v>no</v>
      </c>
      <c r="P39" t="str">
        <f t="shared" si="9"/>
        <v>no</v>
      </c>
    </row>
    <row r="40" spans="1:16" x14ac:dyDescent="0.3">
      <c r="A40" s="7" t="s">
        <v>32</v>
      </c>
      <c r="B40" s="8" t="s">
        <v>35</v>
      </c>
      <c r="C40" s="15">
        <v>179.97</v>
      </c>
      <c r="D40" t="str">
        <f t="shared" si="5"/>
        <v xml:space="preserve"> </v>
      </c>
      <c r="E40">
        <f t="shared" si="6"/>
        <v>179.97</v>
      </c>
      <c r="F40" t="str">
        <f t="shared" si="7"/>
        <v/>
      </c>
      <c r="G40" t="str">
        <f t="shared" si="11"/>
        <v xml:space="preserve"> </v>
      </c>
      <c r="H40" t="str">
        <f t="shared" si="12"/>
        <v/>
      </c>
      <c r="I40" t="str">
        <f t="shared" si="13"/>
        <v/>
      </c>
      <c r="K40">
        <f>Table1[[#This Row],[Quantity]]</f>
        <v>2</v>
      </c>
      <c r="L40" t="str">
        <f>Table1[[#This Row],[Category]]</f>
        <v>Electronics</v>
      </c>
      <c r="M40" t="str">
        <f>Table1[[#This Row],[Product_Name]]</f>
        <v>Smartphone</v>
      </c>
      <c r="N40" t="str">
        <f t="shared" si="10"/>
        <v>no</v>
      </c>
      <c r="O40" t="str">
        <f t="shared" si="8"/>
        <v>no</v>
      </c>
      <c r="P40" t="str">
        <f t="shared" si="9"/>
        <v>no</v>
      </c>
    </row>
    <row r="41" spans="1:16" x14ac:dyDescent="0.3">
      <c r="A41" s="8" t="s">
        <v>102</v>
      </c>
      <c r="B41" s="8" t="s">
        <v>35</v>
      </c>
      <c r="C41" s="15">
        <v>179.97</v>
      </c>
      <c r="D41" t="str">
        <f t="shared" si="5"/>
        <v xml:space="preserve"> </v>
      </c>
      <c r="E41">
        <f t="shared" si="6"/>
        <v>179.97</v>
      </c>
      <c r="F41" t="str">
        <f t="shared" si="7"/>
        <v/>
      </c>
      <c r="G41" t="str">
        <f t="shared" si="11"/>
        <v xml:space="preserve"> </v>
      </c>
      <c r="H41" t="str">
        <f t="shared" si="12"/>
        <v/>
      </c>
      <c r="I41" t="str">
        <f t="shared" si="13"/>
        <v/>
      </c>
      <c r="K41">
        <f>Table1[[#This Row],[Quantity]]</f>
        <v>2</v>
      </c>
      <c r="L41" t="str">
        <f>Table1[[#This Row],[Category]]</f>
        <v>Electronics</v>
      </c>
      <c r="M41" t="str">
        <f>Table1[[#This Row],[Product_Name]]</f>
        <v>Keyboard</v>
      </c>
      <c r="N41" t="str">
        <f t="shared" si="10"/>
        <v>no</v>
      </c>
      <c r="O41" t="str">
        <f t="shared" si="8"/>
        <v>no</v>
      </c>
      <c r="P41" t="str">
        <f t="shared" si="9"/>
        <v>no</v>
      </c>
    </row>
    <row r="42" spans="1:16" x14ac:dyDescent="0.3">
      <c r="A42" s="7" t="s">
        <v>132</v>
      </c>
      <c r="B42" s="7" t="s">
        <v>35</v>
      </c>
      <c r="C42" s="14">
        <v>179.97</v>
      </c>
      <c r="D42" t="str">
        <f t="shared" si="5"/>
        <v xml:space="preserve"> </v>
      </c>
      <c r="E42">
        <f t="shared" si="6"/>
        <v>179.97</v>
      </c>
      <c r="F42" t="str">
        <f t="shared" si="7"/>
        <v/>
      </c>
      <c r="G42" t="str">
        <f t="shared" si="11"/>
        <v xml:space="preserve"> </v>
      </c>
      <c r="H42" t="str">
        <f t="shared" si="12"/>
        <v/>
      </c>
      <c r="I42" t="str">
        <f t="shared" si="13"/>
        <v/>
      </c>
      <c r="K42">
        <f>Table1[[#This Row],[Quantity]]</f>
        <v>2</v>
      </c>
      <c r="L42" t="str">
        <f>Table1[[#This Row],[Category]]</f>
        <v>Electronics</v>
      </c>
      <c r="M42" t="str">
        <f>Table1[[#This Row],[Product_Name]]</f>
        <v>Keyboard</v>
      </c>
      <c r="N42" t="str">
        <f t="shared" si="10"/>
        <v>no</v>
      </c>
      <c r="O42" t="str">
        <f t="shared" si="8"/>
        <v>no</v>
      </c>
      <c r="P42" t="str">
        <f t="shared" si="9"/>
        <v>no</v>
      </c>
    </row>
    <row r="43" spans="1:16" x14ac:dyDescent="0.3">
      <c r="A43" s="8" t="s">
        <v>141</v>
      </c>
      <c r="B43" s="7" t="s">
        <v>35</v>
      </c>
      <c r="C43" s="14">
        <v>179.97</v>
      </c>
      <c r="D43" t="str">
        <f t="shared" si="5"/>
        <v xml:space="preserve"> </v>
      </c>
      <c r="E43">
        <f t="shared" si="6"/>
        <v>179.97</v>
      </c>
      <c r="F43" t="str">
        <f t="shared" si="7"/>
        <v/>
      </c>
      <c r="G43" t="str">
        <f t="shared" si="11"/>
        <v xml:space="preserve"> </v>
      </c>
      <c r="H43" t="str">
        <f t="shared" si="12"/>
        <v/>
      </c>
      <c r="I43" t="str">
        <f t="shared" si="13"/>
        <v/>
      </c>
      <c r="K43">
        <f>Table1[[#This Row],[Quantity]]</f>
        <v>2</v>
      </c>
      <c r="L43" t="str">
        <f>Table1[[#This Row],[Category]]</f>
        <v>Electronics</v>
      </c>
      <c r="M43" t="str">
        <f>Table1[[#This Row],[Product_Name]]</f>
        <v>Keyboard</v>
      </c>
      <c r="N43" t="str">
        <f t="shared" si="10"/>
        <v>no</v>
      </c>
      <c r="O43" t="str">
        <f t="shared" si="8"/>
        <v>no</v>
      </c>
      <c r="P43" t="str">
        <f t="shared" si="9"/>
        <v>no</v>
      </c>
    </row>
    <row r="44" spans="1:16" x14ac:dyDescent="0.3">
      <c r="A44" s="7" t="s">
        <v>144</v>
      </c>
      <c r="B44" s="8" t="s">
        <v>35</v>
      </c>
      <c r="C44" s="15">
        <v>179.97</v>
      </c>
      <c r="D44" t="str">
        <f t="shared" si="5"/>
        <v xml:space="preserve"> </v>
      </c>
      <c r="E44">
        <f t="shared" si="6"/>
        <v>179.97</v>
      </c>
      <c r="F44" t="str">
        <f t="shared" si="7"/>
        <v/>
      </c>
      <c r="G44" t="str">
        <f t="shared" si="11"/>
        <v xml:space="preserve"> </v>
      </c>
      <c r="H44" t="str">
        <f t="shared" si="12"/>
        <v/>
      </c>
      <c r="I44" t="str">
        <f t="shared" si="13"/>
        <v/>
      </c>
      <c r="K44">
        <f>Table1[[#This Row],[Quantity]]</f>
        <v>2</v>
      </c>
      <c r="L44" t="str">
        <f>Table1[[#This Row],[Category]]</f>
        <v>Electronics</v>
      </c>
      <c r="M44" t="str">
        <f>Table1[[#This Row],[Product_Name]]</f>
        <v>Smartphone</v>
      </c>
      <c r="N44" t="str">
        <f t="shared" si="10"/>
        <v>no</v>
      </c>
      <c r="O44" t="str">
        <f t="shared" si="8"/>
        <v>no</v>
      </c>
      <c r="P44" t="str">
        <f t="shared" si="9"/>
        <v>no</v>
      </c>
    </row>
    <row r="45" spans="1:16" x14ac:dyDescent="0.3">
      <c r="A45" s="8" t="s">
        <v>147</v>
      </c>
      <c r="B45" s="8" t="s">
        <v>21</v>
      </c>
      <c r="C45" s="15">
        <v>179.98</v>
      </c>
      <c r="D45">
        <f t="shared" si="5"/>
        <v>179.98</v>
      </c>
      <c r="E45" t="str">
        <f t="shared" si="6"/>
        <v xml:space="preserve"> </v>
      </c>
      <c r="F45" t="str">
        <f t="shared" si="7"/>
        <v/>
      </c>
      <c r="G45" t="str">
        <f t="shared" si="11"/>
        <v xml:space="preserve"> </v>
      </c>
      <c r="H45" t="str">
        <f t="shared" si="12"/>
        <v/>
      </c>
      <c r="I45" t="str">
        <f t="shared" si="13"/>
        <v/>
      </c>
      <c r="K45">
        <f>Table1[[#This Row],[Quantity]]</f>
        <v>2</v>
      </c>
      <c r="L45" t="str">
        <f>Table1[[#This Row],[Category]]</f>
        <v>Electronics</v>
      </c>
      <c r="M45" t="str">
        <f>Table1[[#This Row],[Product_Name]]</f>
        <v>Monitor</v>
      </c>
      <c r="N45" t="str">
        <f t="shared" si="10"/>
        <v>no</v>
      </c>
      <c r="O45" t="str">
        <f t="shared" si="8"/>
        <v>no</v>
      </c>
      <c r="P45" t="str">
        <f t="shared" si="9"/>
        <v>no</v>
      </c>
    </row>
    <row r="46" spans="1:16" x14ac:dyDescent="0.3">
      <c r="A46" s="7" t="s">
        <v>150</v>
      </c>
      <c r="B46" s="7" t="s">
        <v>21</v>
      </c>
      <c r="C46" s="14">
        <v>179.98</v>
      </c>
      <c r="D46">
        <f t="shared" si="5"/>
        <v>179.98</v>
      </c>
      <c r="E46" t="str">
        <f t="shared" si="6"/>
        <v xml:space="preserve"> </v>
      </c>
      <c r="F46" t="str">
        <f t="shared" si="7"/>
        <v/>
      </c>
      <c r="G46" t="str">
        <f t="shared" si="11"/>
        <v xml:space="preserve"> </v>
      </c>
      <c r="H46" t="str">
        <f t="shared" si="12"/>
        <v/>
      </c>
      <c r="I46" t="str">
        <f t="shared" si="13"/>
        <v/>
      </c>
      <c r="K46">
        <f>Table1[[#This Row],[Quantity]]</f>
        <v>2</v>
      </c>
      <c r="L46" t="str">
        <f>Table1[[#This Row],[Category]]</f>
        <v>Electronics</v>
      </c>
      <c r="M46" t="str">
        <f>Table1[[#This Row],[Product_Name]]</f>
        <v>Keyboard</v>
      </c>
      <c r="N46" t="str">
        <f t="shared" si="10"/>
        <v>no</v>
      </c>
      <c r="O46" t="str">
        <f t="shared" si="8"/>
        <v>no</v>
      </c>
      <c r="P46" t="str">
        <f t="shared" si="9"/>
        <v>no</v>
      </c>
    </row>
    <row r="47" spans="1:16" x14ac:dyDescent="0.3">
      <c r="A47" s="8" t="s">
        <v>153</v>
      </c>
      <c r="B47" s="7" t="s">
        <v>21</v>
      </c>
      <c r="C47" s="14">
        <v>179.98</v>
      </c>
      <c r="D47">
        <f t="shared" si="5"/>
        <v>179.98</v>
      </c>
      <c r="E47" t="str">
        <f t="shared" si="6"/>
        <v xml:space="preserve"> </v>
      </c>
      <c r="F47" t="str">
        <f t="shared" si="7"/>
        <v/>
      </c>
      <c r="G47" t="str">
        <f t="shared" si="11"/>
        <v xml:space="preserve"> </v>
      </c>
      <c r="H47" t="str">
        <f t="shared" si="12"/>
        <v/>
      </c>
      <c r="I47" t="str">
        <f t="shared" si="13"/>
        <v/>
      </c>
      <c r="K47">
        <f>Table1[[#This Row],[Quantity]]</f>
        <v>2</v>
      </c>
      <c r="L47" t="str">
        <f>Table1[[#This Row],[Category]]</f>
        <v>Electronics</v>
      </c>
      <c r="M47" t="str">
        <f>Table1[[#This Row],[Product_Name]]</f>
        <v>Smartphone</v>
      </c>
      <c r="N47" t="str">
        <f t="shared" si="10"/>
        <v>no</v>
      </c>
      <c r="O47" t="str">
        <f t="shared" si="8"/>
        <v>no</v>
      </c>
      <c r="P47" t="str">
        <f t="shared" si="9"/>
        <v>no</v>
      </c>
    </row>
    <row r="48" spans="1:16" x14ac:dyDescent="0.3">
      <c r="A48" s="7" t="s">
        <v>58</v>
      </c>
      <c r="B48" s="7" t="s">
        <v>21</v>
      </c>
      <c r="C48" s="14">
        <v>179.98</v>
      </c>
      <c r="D48">
        <f t="shared" si="5"/>
        <v>179.98</v>
      </c>
      <c r="E48" t="str">
        <f t="shared" si="6"/>
        <v xml:space="preserve"> </v>
      </c>
      <c r="F48" t="str">
        <f t="shared" si="7"/>
        <v/>
      </c>
      <c r="G48" t="str">
        <f t="shared" si="11"/>
        <v xml:space="preserve"> </v>
      </c>
      <c r="H48" t="str">
        <f t="shared" si="12"/>
        <v/>
      </c>
      <c r="I48" t="str">
        <f t="shared" si="13"/>
        <v/>
      </c>
      <c r="K48">
        <f>Table1[[#This Row],[Quantity]]</f>
        <v>2</v>
      </c>
      <c r="L48" t="str">
        <f>Table1[[#This Row],[Category]]</f>
        <v>Electronics</v>
      </c>
      <c r="M48" t="str">
        <f>Table1[[#This Row],[Product_Name]]</f>
        <v>Keyboard</v>
      </c>
      <c r="N48" t="str">
        <f t="shared" si="10"/>
        <v>no</v>
      </c>
      <c r="O48" t="str">
        <f t="shared" si="8"/>
        <v>no</v>
      </c>
      <c r="P48" t="str">
        <f t="shared" si="9"/>
        <v>no</v>
      </c>
    </row>
    <row r="49" spans="1:16" x14ac:dyDescent="0.3">
      <c r="A49" s="8" t="s">
        <v>157</v>
      </c>
      <c r="B49" s="8" t="s">
        <v>21</v>
      </c>
      <c r="C49" s="15">
        <v>179.98</v>
      </c>
      <c r="D49">
        <f t="shared" si="5"/>
        <v>179.98</v>
      </c>
      <c r="E49" t="str">
        <f t="shared" si="6"/>
        <v xml:space="preserve"> </v>
      </c>
      <c r="F49" t="str">
        <f t="shared" si="7"/>
        <v/>
      </c>
      <c r="G49" t="str">
        <f t="shared" si="11"/>
        <v xml:space="preserve"> </v>
      </c>
      <c r="H49" t="str">
        <f t="shared" si="12"/>
        <v/>
      </c>
      <c r="I49" t="str">
        <f t="shared" si="13"/>
        <v/>
      </c>
      <c r="K49">
        <f>Table1[[#This Row],[Quantity]]</f>
        <v>2</v>
      </c>
      <c r="L49" t="str">
        <f>Table1[[#This Row],[Category]]</f>
        <v>Electronics</v>
      </c>
      <c r="M49" t="str">
        <f>Table1[[#This Row],[Product_Name]]</f>
        <v>Monitor</v>
      </c>
      <c r="N49" t="str">
        <f t="shared" si="10"/>
        <v>no</v>
      </c>
      <c r="O49" t="str">
        <f t="shared" si="8"/>
        <v>no</v>
      </c>
      <c r="P49" t="str">
        <f t="shared" si="9"/>
        <v>no</v>
      </c>
    </row>
    <row r="50" spans="1:16" x14ac:dyDescent="0.3">
      <c r="A50" s="7" t="s">
        <v>27</v>
      </c>
      <c r="B50" s="7" t="s">
        <v>21</v>
      </c>
      <c r="C50" s="14">
        <v>179.98</v>
      </c>
      <c r="D50">
        <f t="shared" si="5"/>
        <v>179.98</v>
      </c>
      <c r="E50" t="str">
        <f t="shared" si="6"/>
        <v xml:space="preserve"> </v>
      </c>
      <c r="F50" t="str">
        <f t="shared" si="7"/>
        <v/>
      </c>
      <c r="G50" t="str">
        <f t="shared" si="11"/>
        <v xml:space="preserve"> </v>
      </c>
      <c r="H50" t="str">
        <f t="shared" si="12"/>
        <v/>
      </c>
      <c r="I50" t="str">
        <f t="shared" si="13"/>
        <v/>
      </c>
      <c r="K50">
        <f>Table1[[#This Row],[Quantity]]</f>
        <v>2</v>
      </c>
      <c r="L50" t="str">
        <f>Table1[[#This Row],[Category]]</f>
        <v>Electronics</v>
      </c>
      <c r="M50" t="str">
        <f>Table1[[#This Row],[Product_Name]]</f>
        <v>Smartphone</v>
      </c>
      <c r="N50" t="str">
        <f t="shared" si="10"/>
        <v>no</v>
      </c>
      <c r="O50" t="str">
        <f t="shared" si="8"/>
        <v>no</v>
      </c>
      <c r="P50" t="str">
        <f t="shared" si="9"/>
        <v>no</v>
      </c>
    </row>
    <row r="51" spans="1:16" x14ac:dyDescent="0.3">
      <c r="A51" s="8" t="s">
        <v>161</v>
      </c>
      <c r="B51" s="8" t="s">
        <v>21</v>
      </c>
      <c r="C51" s="15">
        <v>179.98</v>
      </c>
      <c r="D51">
        <f t="shared" si="5"/>
        <v>179.98</v>
      </c>
      <c r="E51" t="str">
        <f t="shared" si="6"/>
        <v xml:space="preserve"> </v>
      </c>
      <c r="F51" t="str">
        <f t="shared" si="7"/>
        <v/>
      </c>
      <c r="G51" t="str">
        <f t="shared" si="11"/>
        <v xml:space="preserve"> </v>
      </c>
      <c r="H51" t="str">
        <f t="shared" si="12"/>
        <v/>
      </c>
      <c r="I51" t="str">
        <f t="shared" si="13"/>
        <v/>
      </c>
      <c r="K51">
        <f>Table1[[#This Row],[Quantity]]</f>
        <v>2</v>
      </c>
      <c r="L51" t="str">
        <f>Table1[[#This Row],[Category]]</f>
        <v>Electronics</v>
      </c>
      <c r="M51" t="str">
        <f>Table1[[#This Row],[Product_Name]]</f>
        <v>Smartphone</v>
      </c>
      <c r="N51" t="str">
        <f t="shared" si="10"/>
        <v>no</v>
      </c>
      <c r="O51" t="str">
        <f t="shared" si="8"/>
        <v>no</v>
      </c>
      <c r="P51" t="str">
        <f t="shared" si="9"/>
        <v>no</v>
      </c>
    </row>
    <row r="52" spans="1:16" x14ac:dyDescent="0.3">
      <c r="A52" s="7" t="s">
        <v>45</v>
      </c>
      <c r="B52" s="8" t="s">
        <v>21</v>
      </c>
      <c r="C52" s="15">
        <v>179.98</v>
      </c>
      <c r="D52">
        <f t="shared" si="5"/>
        <v>179.98</v>
      </c>
      <c r="E52" t="str">
        <f t="shared" si="6"/>
        <v xml:space="preserve"> </v>
      </c>
      <c r="F52" t="str">
        <f t="shared" si="7"/>
        <v/>
      </c>
      <c r="G52" t="str">
        <f t="shared" si="11"/>
        <v xml:space="preserve"> </v>
      </c>
      <c r="H52" t="str">
        <f t="shared" si="12"/>
        <v/>
      </c>
      <c r="I52" t="str">
        <f t="shared" si="13"/>
        <v/>
      </c>
      <c r="K52">
        <f>Table1[[#This Row],[Quantity]]</f>
        <v>2</v>
      </c>
      <c r="L52" t="str">
        <f>Table1[[#This Row],[Category]]</f>
        <v>Electronics</v>
      </c>
      <c r="M52" t="str">
        <f>Table1[[#This Row],[Product_Name]]</f>
        <v>Keyboard</v>
      </c>
      <c r="N52" t="str">
        <f t="shared" si="10"/>
        <v>no</v>
      </c>
      <c r="O52" t="str">
        <f t="shared" si="8"/>
        <v>no</v>
      </c>
      <c r="P52" t="str">
        <f t="shared" si="9"/>
        <v>no</v>
      </c>
    </row>
    <row r="53" spans="1:16" x14ac:dyDescent="0.3">
      <c r="A53" s="8" t="s">
        <v>165</v>
      </c>
      <c r="B53" s="8" t="s">
        <v>21</v>
      </c>
      <c r="C53" s="15">
        <v>179.98</v>
      </c>
      <c r="D53">
        <f t="shared" si="5"/>
        <v>179.98</v>
      </c>
      <c r="E53" t="str">
        <f t="shared" si="6"/>
        <v xml:space="preserve"> </v>
      </c>
      <c r="F53" t="str">
        <f t="shared" si="7"/>
        <v/>
      </c>
      <c r="G53" t="str">
        <f t="shared" si="11"/>
        <v xml:space="preserve"> </v>
      </c>
      <c r="H53" t="str">
        <f t="shared" si="12"/>
        <v/>
      </c>
      <c r="I53" t="str">
        <f t="shared" si="13"/>
        <v/>
      </c>
      <c r="K53">
        <f>Table1[[#This Row],[Quantity]]</f>
        <v>2</v>
      </c>
      <c r="L53" t="str">
        <f>Table1[[#This Row],[Category]]</f>
        <v>Appliances</v>
      </c>
      <c r="M53" t="str">
        <f>Table1[[#This Row],[Product_Name]]</f>
        <v>Blender</v>
      </c>
      <c r="N53" t="str">
        <f t="shared" si="10"/>
        <v>no</v>
      </c>
      <c r="O53" t="str">
        <f t="shared" si="8"/>
        <v>no</v>
      </c>
      <c r="P53" t="str">
        <f t="shared" si="9"/>
        <v>no</v>
      </c>
    </row>
    <row r="54" spans="1:16" x14ac:dyDescent="0.3">
      <c r="A54" s="7" t="s">
        <v>132</v>
      </c>
      <c r="B54" s="7" t="s">
        <v>21</v>
      </c>
      <c r="C54" s="14">
        <v>179.98</v>
      </c>
      <c r="D54">
        <f t="shared" si="5"/>
        <v>179.98</v>
      </c>
      <c r="E54" t="str">
        <f t="shared" si="6"/>
        <v xml:space="preserve"> </v>
      </c>
      <c r="F54" t="str">
        <f t="shared" si="7"/>
        <v/>
      </c>
      <c r="G54" t="str">
        <f t="shared" si="11"/>
        <v xml:space="preserve"> </v>
      </c>
      <c r="H54" t="str">
        <f t="shared" si="12"/>
        <v/>
      </c>
      <c r="I54" t="str">
        <f t="shared" si="13"/>
        <v/>
      </c>
      <c r="K54">
        <f>Table1[[#This Row],[Quantity]]</f>
        <v>2</v>
      </c>
      <c r="L54" t="str">
        <f>Table1[[#This Row],[Category]]</f>
        <v>Appliances</v>
      </c>
      <c r="M54" t="str">
        <f>Table1[[#This Row],[Product_Name]]</f>
        <v>Blender</v>
      </c>
      <c r="N54" t="str">
        <f t="shared" si="10"/>
        <v>no</v>
      </c>
      <c r="O54" t="str">
        <f t="shared" si="8"/>
        <v>no</v>
      </c>
      <c r="P54" t="str">
        <f t="shared" si="9"/>
        <v>no</v>
      </c>
    </row>
    <row r="55" spans="1:16" x14ac:dyDescent="0.3">
      <c r="A55" s="8" t="s">
        <v>102</v>
      </c>
      <c r="B55" s="8" t="s">
        <v>21</v>
      </c>
      <c r="C55" s="15">
        <v>179.98</v>
      </c>
      <c r="D55">
        <f t="shared" si="5"/>
        <v>179.98</v>
      </c>
      <c r="E55" t="str">
        <f t="shared" si="6"/>
        <v xml:space="preserve"> </v>
      </c>
      <c r="F55" t="str">
        <f t="shared" si="7"/>
        <v/>
      </c>
      <c r="G55" t="str">
        <f t="shared" si="11"/>
        <v xml:space="preserve"> </v>
      </c>
      <c r="H55" t="str">
        <f t="shared" si="12"/>
        <v/>
      </c>
      <c r="I55" t="str">
        <f t="shared" si="13"/>
        <v/>
      </c>
      <c r="K55">
        <f>Table1[[#This Row],[Quantity]]</f>
        <v>2</v>
      </c>
      <c r="L55" t="str">
        <f>Table1[[#This Row],[Category]]</f>
        <v>Electronics</v>
      </c>
      <c r="M55" t="str">
        <f>Table1[[#This Row],[Product_Name]]</f>
        <v>Monitor</v>
      </c>
      <c r="N55" t="str">
        <f t="shared" si="10"/>
        <v>no</v>
      </c>
      <c r="O55" t="str">
        <f t="shared" si="8"/>
        <v>no</v>
      </c>
      <c r="P55" t="str">
        <f t="shared" si="9"/>
        <v>no</v>
      </c>
    </row>
    <row r="56" spans="1:16" x14ac:dyDescent="0.3">
      <c r="A56" s="7" t="s">
        <v>18</v>
      </c>
      <c r="B56" s="8" t="s">
        <v>21</v>
      </c>
      <c r="C56" s="15">
        <v>179.98</v>
      </c>
      <c r="D56">
        <f t="shared" si="5"/>
        <v>179.98</v>
      </c>
      <c r="E56" t="str">
        <f t="shared" si="6"/>
        <v xml:space="preserve"> </v>
      </c>
      <c r="F56" t="str">
        <f t="shared" si="7"/>
        <v/>
      </c>
      <c r="G56" t="str">
        <f t="shared" si="11"/>
        <v xml:space="preserve"> </v>
      </c>
      <c r="H56" t="str">
        <f t="shared" si="12"/>
        <v/>
      </c>
      <c r="I56" t="str">
        <f t="shared" si="13"/>
        <v/>
      </c>
      <c r="K56">
        <f>Table1[[#This Row],[Quantity]]</f>
        <v>2</v>
      </c>
      <c r="L56" t="str">
        <f>Table1[[#This Row],[Category]]</f>
        <v>Appliances</v>
      </c>
      <c r="M56" t="str">
        <f>Table1[[#This Row],[Product_Name]]</f>
        <v>Blender</v>
      </c>
      <c r="N56" t="str">
        <f t="shared" si="10"/>
        <v>no</v>
      </c>
      <c r="O56" t="str">
        <f t="shared" si="8"/>
        <v>no</v>
      </c>
      <c r="P56" t="str">
        <f t="shared" si="9"/>
        <v>no</v>
      </c>
    </row>
    <row r="57" spans="1:16" x14ac:dyDescent="0.3">
      <c r="A57" s="8" t="s">
        <v>126</v>
      </c>
      <c r="B57" s="7" t="s">
        <v>48</v>
      </c>
      <c r="C57" s="14">
        <v>199.99</v>
      </c>
      <c r="D57" t="str">
        <f t="shared" si="5"/>
        <v xml:space="preserve"> </v>
      </c>
      <c r="E57" t="str">
        <f t="shared" si="6"/>
        <v xml:space="preserve"> </v>
      </c>
      <c r="F57">
        <f t="shared" si="7"/>
        <v>199.99</v>
      </c>
      <c r="G57" t="str">
        <f t="shared" si="11"/>
        <v xml:space="preserve"> </v>
      </c>
      <c r="H57" t="str">
        <f t="shared" si="12"/>
        <v/>
      </c>
      <c r="I57" t="str">
        <f t="shared" si="13"/>
        <v/>
      </c>
      <c r="K57">
        <f>Table1[[#This Row],[Quantity]]</f>
        <v>2</v>
      </c>
      <c r="L57" t="str">
        <f>Table1[[#This Row],[Category]]</f>
        <v>Electronics</v>
      </c>
      <c r="M57" t="str">
        <f>Table1[[#This Row],[Product_Name]]</f>
        <v>Smartphone</v>
      </c>
      <c r="N57" t="str">
        <f t="shared" si="10"/>
        <v>no</v>
      </c>
      <c r="O57" t="str">
        <f t="shared" si="8"/>
        <v>no</v>
      </c>
      <c r="P57" t="str">
        <f t="shared" si="9"/>
        <v>no</v>
      </c>
    </row>
    <row r="58" spans="1:16" x14ac:dyDescent="0.3">
      <c r="A58" s="7" t="s">
        <v>161</v>
      </c>
      <c r="B58" s="7" t="s">
        <v>35</v>
      </c>
      <c r="C58" s="14">
        <v>239.96</v>
      </c>
      <c r="D58" t="str">
        <f t="shared" si="5"/>
        <v xml:space="preserve"> </v>
      </c>
      <c r="E58">
        <f t="shared" si="6"/>
        <v>239.96</v>
      </c>
      <c r="F58" t="str">
        <f t="shared" si="7"/>
        <v/>
      </c>
      <c r="G58" t="str">
        <f t="shared" si="11"/>
        <v xml:space="preserve"> </v>
      </c>
      <c r="H58" t="str">
        <f t="shared" si="12"/>
        <v/>
      </c>
      <c r="I58" t="str">
        <f t="shared" si="13"/>
        <v/>
      </c>
      <c r="K58">
        <f>Table1[[#This Row],[Quantity]]</f>
        <v>2</v>
      </c>
      <c r="L58" t="str">
        <f>Table1[[#This Row],[Category]]</f>
        <v>Electronics</v>
      </c>
      <c r="M58" t="str">
        <f>Table1[[#This Row],[Product_Name]]</f>
        <v>Headphones</v>
      </c>
      <c r="N58" t="str">
        <f t="shared" si="10"/>
        <v>no</v>
      </c>
      <c r="O58" t="str">
        <f t="shared" si="8"/>
        <v>no</v>
      </c>
      <c r="P58" t="str">
        <f t="shared" si="9"/>
        <v>no</v>
      </c>
    </row>
    <row r="59" spans="1:16" x14ac:dyDescent="0.3">
      <c r="A59" s="8" t="s">
        <v>144</v>
      </c>
      <c r="B59" s="8" t="s">
        <v>35</v>
      </c>
      <c r="C59" s="15">
        <v>239.96</v>
      </c>
      <c r="D59" t="str">
        <f t="shared" si="5"/>
        <v xml:space="preserve"> </v>
      </c>
      <c r="E59">
        <f t="shared" si="6"/>
        <v>239.96</v>
      </c>
      <c r="F59" t="str">
        <f t="shared" si="7"/>
        <v/>
      </c>
      <c r="G59" t="str">
        <f t="shared" si="11"/>
        <v xml:space="preserve"> </v>
      </c>
      <c r="H59" t="str">
        <f t="shared" si="12"/>
        <v/>
      </c>
      <c r="I59" t="str">
        <f t="shared" si="13"/>
        <v/>
      </c>
      <c r="K59">
        <f>Table1[[#This Row],[Quantity]]</f>
        <v>2</v>
      </c>
      <c r="L59" t="str">
        <f>Table1[[#This Row],[Category]]</f>
        <v>Electronics</v>
      </c>
      <c r="M59" t="str">
        <f>Table1[[#This Row],[Product_Name]]</f>
        <v>Headphones</v>
      </c>
      <c r="N59" t="str">
        <f t="shared" si="10"/>
        <v>no</v>
      </c>
      <c r="O59" t="str">
        <f t="shared" si="8"/>
        <v>no</v>
      </c>
      <c r="P59" t="str">
        <f t="shared" si="9"/>
        <v>no</v>
      </c>
    </row>
    <row r="60" spans="1:16" x14ac:dyDescent="0.3">
      <c r="A60" s="7" t="s">
        <v>174</v>
      </c>
      <c r="B60" s="8" t="s">
        <v>35</v>
      </c>
      <c r="C60" s="15">
        <v>239.96</v>
      </c>
      <c r="D60" t="str">
        <f t="shared" si="5"/>
        <v xml:space="preserve"> </v>
      </c>
      <c r="E60">
        <f t="shared" si="6"/>
        <v>239.96</v>
      </c>
      <c r="F60" t="str">
        <f t="shared" si="7"/>
        <v/>
      </c>
      <c r="G60" t="str">
        <f t="shared" si="11"/>
        <v xml:space="preserve"> </v>
      </c>
      <c r="H60" t="str">
        <f t="shared" si="12"/>
        <v/>
      </c>
      <c r="I60" t="str">
        <f t="shared" si="13"/>
        <v/>
      </c>
      <c r="K60">
        <f>Table1[[#This Row],[Quantity]]</f>
        <v>2</v>
      </c>
      <c r="L60" t="str">
        <f>Table1[[#This Row],[Category]]</f>
        <v>Furniture</v>
      </c>
      <c r="M60" t="str">
        <f>Table1[[#This Row],[Product_Name]]</f>
        <v>Bookshelf</v>
      </c>
      <c r="N60" t="str">
        <f t="shared" si="10"/>
        <v>no</v>
      </c>
      <c r="O60" t="str">
        <f t="shared" si="8"/>
        <v>no</v>
      </c>
      <c r="P60" t="str">
        <f t="shared" si="9"/>
        <v>no</v>
      </c>
    </row>
    <row r="61" spans="1:16" x14ac:dyDescent="0.3">
      <c r="A61" s="8" t="s">
        <v>32</v>
      </c>
      <c r="B61" s="8" t="s">
        <v>35</v>
      </c>
      <c r="C61" s="15">
        <v>239.96</v>
      </c>
      <c r="D61" t="str">
        <f t="shared" si="5"/>
        <v xml:space="preserve"> </v>
      </c>
      <c r="E61">
        <f t="shared" si="6"/>
        <v>239.96</v>
      </c>
      <c r="F61" t="str">
        <f t="shared" si="7"/>
        <v/>
      </c>
      <c r="G61" t="str">
        <f t="shared" si="11"/>
        <v xml:space="preserve"> </v>
      </c>
      <c r="H61" t="str">
        <f t="shared" si="12"/>
        <v/>
      </c>
      <c r="I61" t="str">
        <f t="shared" si="13"/>
        <v/>
      </c>
      <c r="K61">
        <f>Table1[[#This Row],[Quantity]]</f>
        <v>2</v>
      </c>
      <c r="L61" t="str">
        <f>Table1[[#This Row],[Category]]</f>
        <v>Electronics</v>
      </c>
      <c r="M61" t="str">
        <f>Table1[[#This Row],[Product_Name]]</f>
        <v>Smartphone</v>
      </c>
      <c r="N61" t="str">
        <f t="shared" si="10"/>
        <v>no</v>
      </c>
      <c r="O61" t="str">
        <f t="shared" si="8"/>
        <v>no</v>
      </c>
      <c r="P61" t="str">
        <f t="shared" si="9"/>
        <v>no</v>
      </c>
    </row>
    <row r="62" spans="1:16" x14ac:dyDescent="0.3">
      <c r="A62" s="7" t="s">
        <v>62</v>
      </c>
      <c r="B62" s="8" t="s">
        <v>35</v>
      </c>
      <c r="C62" s="15">
        <v>239.96</v>
      </c>
      <c r="D62" t="str">
        <f t="shared" si="5"/>
        <v xml:space="preserve"> </v>
      </c>
      <c r="E62">
        <f t="shared" si="6"/>
        <v>239.96</v>
      </c>
      <c r="F62" t="str">
        <f t="shared" si="7"/>
        <v/>
      </c>
      <c r="G62" t="str">
        <f t="shared" si="11"/>
        <v xml:space="preserve"> </v>
      </c>
      <c r="H62" t="str">
        <f t="shared" si="12"/>
        <v/>
      </c>
      <c r="I62" t="str">
        <f t="shared" si="13"/>
        <v/>
      </c>
      <c r="K62">
        <f>Table1[[#This Row],[Quantity]]</f>
        <v>2</v>
      </c>
      <c r="L62" t="str">
        <f>Table1[[#This Row],[Category]]</f>
        <v>Furniture</v>
      </c>
      <c r="M62" t="str">
        <f>Table1[[#This Row],[Product_Name]]</f>
        <v>Bookshelf</v>
      </c>
      <c r="N62" t="str">
        <f t="shared" si="10"/>
        <v>no</v>
      </c>
      <c r="O62" t="str">
        <f t="shared" si="8"/>
        <v>no</v>
      </c>
      <c r="P62" t="str">
        <f t="shared" si="9"/>
        <v>no</v>
      </c>
    </row>
    <row r="63" spans="1:16" x14ac:dyDescent="0.3">
      <c r="A63" s="8" t="s">
        <v>41</v>
      </c>
      <c r="B63" s="8" t="s">
        <v>35</v>
      </c>
      <c r="C63" s="15">
        <v>239.97</v>
      </c>
      <c r="D63" t="str">
        <f t="shared" si="5"/>
        <v xml:space="preserve"> </v>
      </c>
      <c r="E63">
        <f t="shared" si="6"/>
        <v>239.97</v>
      </c>
      <c r="F63" t="str">
        <f t="shared" si="7"/>
        <v/>
      </c>
      <c r="G63" t="str">
        <f t="shared" si="11"/>
        <v xml:space="preserve"> </v>
      </c>
      <c r="H63" t="str">
        <f t="shared" si="12"/>
        <v/>
      </c>
      <c r="I63" t="str">
        <f t="shared" si="13"/>
        <v/>
      </c>
      <c r="K63">
        <f>Table1[[#This Row],[Quantity]]</f>
        <v>2</v>
      </c>
      <c r="L63" t="str">
        <f>Table1[[#This Row],[Category]]</f>
        <v>Electronics</v>
      </c>
      <c r="M63" t="str">
        <f>Table1[[#This Row],[Product_Name]]</f>
        <v>Smartphone</v>
      </c>
      <c r="N63" t="str">
        <f t="shared" si="10"/>
        <v>no</v>
      </c>
      <c r="O63" t="str">
        <f t="shared" si="8"/>
        <v>no</v>
      </c>
      <c r="P63" t="str">
        <f t="shared" si="9"/>
        <v>no</v>
      </c>
    </row>
    <row r="64" spans="1:16" x14ac:dyDescent="0.3">
      <c r="A64" s="7" t="s">
        <v>102</v>
      </c>
      <c r="B64" s="7" t="s">
        <v>35</v>
      </c>
      <c r="C64" s="14">
        <v>239.97</v>
      </c>
      <c r="D64" t="str">
        <f t="shared" si="5"/>
        <v xml:space="preserve"> </v>
      </c>
      <c r="E64">
        <f t="shared" si="6"/>
        <v>239.97</v>
      </c>
      <c r="F64" t="str">
        <f t="shared" si="7"/>
        <v/>
      </c>
      <c r="G64" t="str">
        <f t="shared" si="11"/>
        <v xml:space="preserve"> </v>
      </c>
      <c r="H64" t="str">
        <f t="shared" si="12"/>
        <v/>
      </c>
      <c r="I64" t="str">
        <f t="shared" si="13"/>
        <v/>
      </c>
      <c r="K64">
        <f>Table1[[#This Row],[Quantity]]</f>
        <v>2</v>
      </c>
      <c r="L64" t="str">
        <f>Table1[[#This Row],[Category]]</f>
        <v>Electronics</v>
      </c>
      <c r="M64" t="str">
        <f>Table1[[#This Row],[Product_Name]]</f>
        <v>Headphones</v>
      </c>
      <c r="N64" t="str">
        <f t="shared" si="10"/>
        <v>no</v>
      </c>
      <c r="O64" t="str">
        <f t="shared" si="8"/>
        <v>no</v>
      </c>
      <c r="P64" t="str">
        <f t="shared" si="9"/>
        <v>no</v>
      </c>
    </row>
    <row r="65" spans="1:16" x14ac:dyDescent="0.3">
      <c r="A65" s="8" t="s">
        <v>123</v>
      </c>
      <c r="B65" s="8" t="s">
        <v>35</v>
      </c>
      <c r="C65" s="15">
        <v>239.97</v>
      </c>
      <c r="D65" t="str">
        <f t="shared" si="5"/>
        <v xml:space="preserve"> </v>
      </c>
      <c r="E65">
        <f t="shared" si="6"/>
        <v>239.97</v>
      </c>
      <c r="F65" t="str">
        <f t="shared" si="7"/>
        <v/>
      </c>
      <c r="G65" t="str">
        <f t="shared" si="11"/>
        <v xml:space="preserve"> </v>
      </c>
      <c r="H65" t="str">
        <f t="shared" si="12"/>
        <v/>
      </c>
      <c r="I65" t="str">
        <f t="shared" si="13"/>
        <v/>
      </c>
      <c r="K65">
        <f>Table1[[#This Row],[Quantity]]</f>
        <v>2</v>
      </c>
      <c r="L65" t="str">
        <f>Table1[[#This Row],[Category]]</f>
        <v>Electronics</v>
      </c>
      <c r="M65" t="str">
        <f>Table1[[#This Row],[Product_Name]]</f>
        <v>Monitor</v>
      </c>
      <c r="N65" t="str">
        <f t="shared" si="10"/>
        <v>no</v>
      </c>
      <c r="O65" t="str">
        <f t="shared" si="8"/>
        <v>no</v>
      </c>
      <c r="P65" t="str">
        <f t="shared" si="9"/>
        <v>no</v>
      </c>
    </row>
    <row r="66" spans="1:16" x14ac:dyDescent="0.3">
      <c r="A66" s="7" t="s">
        <v>135</v>
      </c>
      <c r="B66" s="8" t="s">
        <v>35</v>
      </c>
      <c r="C66" s="15">
        <v>239.97</v>
      </c>
      <c r="D66" t="str">
        <f t="shared" si="5"/>
        <v xml:space="preserve"> </v>
      </c>
      <c r="E66">
        <f t="shared" si="6"/>
        <v>239.97</v>
      </c>
      <c r="F66" t="str">
        <f t="shared" si="7"/>
        <v/>
      </c>
      <c r="G66" t="str">
        <f t="shared" si="11"/>
        <v xml:space="preserve"> </v>
      </c>
      <c r="H66" t="str">
        <f t="shared" si="12"/>
        <v/>
      </c>
      <c r="I66" t="str">
        <f t="shared" si="13"/>
        <v/>
      </c>
      <c r="K66">
        <f>Table1[[#This Row],[Quantity]]</f>
        <v>2</v>
      </c>
      <c r="L66" t="str">
        <f>Table1[[#This Row],[Category]]</f>
        <v>Electronics</v>
      </c>
      <c r="M66" t="str">
        <f>Table1[[#This Row],[Product_Name]]</f>
        <v>Laptop</v>
      </c>
      <c r="N66" t="str">
        <f t="shared" si="10"/>
        <v>no</v>
      </c>
      <c r="O66" t="str">
        <f t="shared" si="8"/>
        <v>no</v>
      </c>
      <c r="P66" t="str">
        <f t="shared" si="9"/>
        <v>no</v>
      </c>
    </row>
    <row r="67" spans="1:16" x14ac:dyDescent="0.3">
      <c r="A67" s="8" t="s">
        <v>58</v>
      </c>
      <c r="B67" s="8" t="s">
        <v>35</v>
      </c>
      <c r="C67" s="15">
        <v>239.97</v>
      </c>
      <c r="D67" t="str">
        <f t="shared" si="5"/>
        <v xml:space="preserve"> </v>
      </c>
      <c r="E67">
        <f t="shared" si="6"/>
        <v>239.97</v>
      </c>
      <c r="F67" t="str">
        <f t="shared" si="7"/>
        <v/>
      </c>
      <c r="G67" t="str">
        <f t="shared" si="11"/>
        <v xml:space="preserve"> </v>
      </c>
      <c r="H67" t="str">
        <f t="shared" si="12"/>
        <v/>
      </c>
      <c r="I67" t="str">
        <f t="shared" si="13"/>
        <v/>
      </c>
      <c r="K67">
        <f>Table1[[#This Row],[Quantity]]</f>
        <v>2</v>
      </c>
      <c r="L67" t="str">
        <f>Table1[[#This Row],[Category]]</f>
        <v>Furniture</v>
      </c>
      <c r="M67" t="str">
        <f>Table1[[#This Row],[Product_Name]]</f>
        <v>Desk</v>
      </c>
      <c r="N67" t="str">
        <f t="shared" si="10"/>
        <v>no</v>
      </c>
      <c r="O67" t="str">
        <f t="shared" si="8"/>
        <v>no</v>
      </c>
      <c r="P67" t="str">
        <f t="shared" si="9"/>
        <v>no</v>
      </c>
    </row>
    <row r="68" spans="1:16" x14ac:dyDescent="0.3">
      <c r="A68" s="7" t="s">
        <v>71</v>
      </c>
      <c r="B68" s="7" t="s">
        <v>35</v>
      </c>
      <c r="C68" s="14">
        <v>239.97</v>
      </c>
      <c r="D68" t="str">
        <f t="shared" si="5"/>
        <v xml:space="preserve"> </v>
      </c>
      <c r="E68">
        <f t="shared" si="6"/>
        <v>239.97</v>
      </c>
      <c r="F68" t="str">
        <f t="shared" si="7"/>
        <v/>
      </c>
      <c r="G68" t="str">
        <f t="shared" si="11"/>
        <v xml:space="preserve"> </v>
      </c>
      <c r="H68" t="str">
        <f t="shared" si="12"/>
        <v/>
      </c>
      <c r="I68" t="str">
        <f t="shared" si="13"/>
        <v/>
      </c>
      <c r="K68">
        <f>Table1[[#This Row],[Quantity]]</f>
        <v>2</v>
      </c>
      <c r="L68" t="str">
        <f>Table1[[#This Row],[Category]]</f>
        <v>Electronics</v>
      </c>
      <c r="M68" t="str">
        <f>Table1[[#This Row],[Product_Name]]</f>
        <v>Headphones</v>
      </c>
      <c r="N68" t="str">
        <f t="shared" si="10"/>
        <v>no</v>
      </c>
      <c r="O68" t="str">
        <f t="shared" si="8"/>
        <v>no</v>
      </c>
      <c r="P68" t="str">
        <f t="shared" si="9"/>
        <v>no</v>
      </c>
    </row>
    <row r="69" spans="1:16" x14ac:dyDescent="0.3">
      <c r="A69" s="8" t="s">
        <v>185</v>
      </c>
      <c r="B69" s="7" t="s">
        <v>21</v>
      </c>
      <c r="C69" s="14">
        <v>249.99</v>
      </c>
      <c r="D69">
        <f t="shared" si="5"/>
        <v>249.99</v>
      </c>
      <c r="E69" t="str">
        <f t="shared" si="6"/>
        <v xml:space="preserve"> </v>
      </c>
      <c r="F69" t="str">
        <f t="shared" si="7"/>
        <v/>
      </c>
      <c r="G69" t="str">
        <f t="shared" si="11"/>
        <v xml:space="preserve"> </v>
      </c>
      <c r="H69" t="str">
        <f t="shared" si="12"/>
        <v/>
      </c>
      <c r="I69" t="str">
        <f t="shared" si="13"/>
        <v/>
      </c>
      <c r="K69">
        <f>Table1[[#This Row],[Quantity]]</f>
        <v>2</v>
      </c>
      <c r="L69" t="str">
        <f>Table1[[#This Row],[Category]]</f>
        <v>Furniture</v>
      </c>
      <c r="M69" t="str">
        <f>Table1[[#This Row],[Product_Name]]</f>
        <v>Office Chair</v>
      </c>
      <c r="N69" t="str">
        <f t="shared" si="10"/>
        <v>no</v>
      </c>
      <c r="O69" t="str">
        <f t="shared" si="8"/>
        <v>no</v>
      </c>
      <c r="P69" t="str">
        <f t="shared" si="9"/>
        <v>no</v>
      </c>
    </row>
    <row r="70" spans="1:16" x14ac:dyDescent="0.3">
      <c r="A70" s="7" t="s">
        <v>188</v>
      </c>
      <c r="B70" s="8" t="s">
        <v>21</v>
      </c>
      <c r="C70" s="15">
        <v>249.99</v>
      </c>
      <c r="D70">
        <f t="shared" si="5"/>
        <v>249.99</v>
      </c>
      <c r="E70" t="str">
        <f t="shared" si="6"/>
        <v xml:space="preserve"> </v>
      </c>
      <c r="F70" t="str">
        <f t="shared" si="7"/>
        <v/>
      </c>
      <c r="G70" t="str">
        <f t="shared" si="11"/>
        <v xml:space="preserve"> </v>
      </c>
      <c r="H70" t="str">
        <f t="shared" si="12"/>
        <v/>
      </c>
      <c r="I70" t="str">
        <f t="shared" si="13"/>
        <v/>
      </c>
      <c r="K70">
        <f>Table1[[#This Row],[Quantity]]</f>
        <v>2</v>
      </c>
      <c r="L70" t="str">
        <f>Table1[[#This Row],[Category]]</f>
        <v>Electronics</v>
      </c>
      <c r="M70" t="str">
        <f>Table1[[#This Row],[Product_Name]]</f>
        <v>Keyboard</v>
      </c>
      <c r="N70" t="str">
        <f t="shared" si="10"/>
        <v>no</v>
      </c>
      <c r="O70" t="str">
        <f t="shared" si="8"/>
        <v>no</v>
      </c>
      <c r="P70" t="str">
        <f t="shared" si="9"/>
        <v>no</v>
      </c>
    </row>
    <row r="71" spans="1:16" x14ac:dyDescent="0.3">
      <c r="A71" s="8" t="s">
        <v>45</v>
      </c>
      <c r="B71" s="8" t="s">
        <v>21</v>
      </c>
      <c r="C71" s="15">
        <v>249.99</v>
      </c>
      <c r="D71">
        <f t="shared" si="5"/>
        <v>249.99</v>
      </c>
      <c r="E71" t="str">
        <f t="shared" si="6"/>
        <v xml:space="preserve"> </v>
      </c>
      <c r="F71" t="str">
        <f t="shared" si="7"/>
        <v/>
      </c>
      <c r="G71" t="str">
        <f t="shared" si="11"/>
        <v xml:space="preserve"> </v>
      </c>
      <c r="H71" t="str">
        <f t="shared" si="12"/>
        <v/>
      </c>
      <c r="I71" t="str">
        <f t="shared" si="13"/>
        <v/>
      </c>
      <c r="K71">
        <f>Table1[[#This Row],[Quantity]]</f>
        <v>2</v>
      </c>
      <c r="L71" t="str">
        <f>Table1[[#This Row],[Category]]</f>
        <v>Electronics</v>
      </c>
      <c r="M71" t="str">
        <f>Table1[[#This Row],[Product_Name]]</f>
        <v>Headphones</v>
      </c>
      <c r="N71" t="str">
        <f t="shared" si="10"/>
        <v>no</v>
      </c>
      <c r="O71" t="str">
        <f t="shared" si="8"/>
        <v>no</v>
      </c>
      <c r="P71" t="str">
        <f t="shared" si="9"/>
        <v>no</v>
      </c>
    </row>
    <row r="72" spans="1:16" x14ac:dyDescent="0.3">
      <c r="A72" s="7" t="s">
        <v>99</v>
      </c>
      <c r="B72" s="8" t="s">
        <v>21</v>
      </c>
      <c r="C72" s="15">
        <v>249.99</v>
      </c>
      <c r="D72">
        <f t="shared" ref="D72:D135" si="14">IF(B72=$A$3,C72,$G$7)</f>
        <v>249.99</v>
      </c>
      <c r="E72" t="str">
        <f t="shared" ref="E72:E135" si="15">IF(B72=$A$4,C72,$G$7)</f>
        <v xml:space="preserve"> </v>
      </c>
      <c r="F72" t="str">
        <f t="shared" ref="F72:F135" si="16">IF(B72=$A$5,C72,$H$7)</f>
        <v/>
      </c>
      <c r="G72" t="str">
        <f t="shared" si="11"/>
        <v xml:space="preserve"> </v>
      </c>
      <c r="H72" t="str">
        <f t="shared" si="12"/>
        <v/>
      </c>
      <c r="I72" t="str">
        <f t="shared" si="13"/>
        <v/>
      </c>
      <c r="K72">
        <f>Table1[[#This Row],[Quantity]]</f>
        <v>2</v>
      </c>
      <c r="L72" t="str">
        <f>Table1[[#This Row],[Category]]</f>
        <v>Electronics</v>
      </c>
      <c r="M72" t="str">
        <f>Table1[[#This Row],[Product_Name]]</f>
        <v>Smartphone</v>
      </c>
      <c r="N72" t="str">
        <f t="shared" si="10"/>
        <v>no</v>
      </c>
      <c r="O72" t="str">
        <f t="shared" si="8"/>
        <v>no</v>
      </c>
      <c r="P72" t="str">
        <f t="shared" si="9"/>
        <v>no</v>
      </c>
    </row>
    <row r="73" spans="1:16" x14ac:dyDescent="0.3">
      <c r="A73" s="8" t="s">
        <v>174</v>
      </c>
      <c r="B73" s="8" t="s">
        <v>21</v>
      </c>
      <c r="C73" s="15">
        <v>269.97000000000003</v>
      </c>
      <c r="D73">
        <f t="shared" si="14"/>
        <v>269.97000000000003</v>
      </c>
      <c r="E73" t="str">
        <f t="shared" si="15"/>
        <v xml:space="preserve"> </v>
      </c>
      <c r="F73" t="str">
        <f t="shared" si="16"/>
        <v/>
      </c>
      <c r="G73" t="str">
        <f t="shared" si="11"/>
        <v xml:space="preserve"> </v>
      </c>
      <c r="H73" t="str">
        <f t="shared" si="12"/>
        <v/>
      </c>
      <c r="I73" t="str">
        <f t="shared" si="13"/>
        <v/>
      </c>
      <c r="K73">
        <f>Table1[[#This Row],[Quantity]]</f>
        <v>2</v>
      </c>
      <c r="L73" t="str">
        <f>Table1[[#This Row],[Category]]</f>
        <v>Appliances</v>
      </c>
      <c r="M73" t="str">
        <f>Table1[[#This Row],[Product_Name]]</f>
        <v>Blender</v>
      </c>
      <c r="N73" t="str">
        <f t="shared" si="10"/>
        <v>no</v>
      </c>
      <c r="O73" t="str">
        <f t="shared" ref="O73:O136" si="17">IF(AND(K73=M68,L73=$O$8),M73,"no")</f>
        <v>no</v>
      </c>
      <c r="P73" t="str">
        <f t="shared" ref="P73:P136" si="18">IF(AND(K73=$M$5,L73=$P$8),M73,"no")</f>
        <v>no</v>
      </c>
    </row>
    <row r="74" spans="1:16" x14ac:dyDescent="0.3">
      <c r="A74" s="7" t="s">
        <v>27</v>
      </c>
      <c r="B74" s="7" t="s">
        <v>21</v>
      </c>
      <c r="C74" s="14">
        <v>269.97000000000003</v>
      </c>
      <c r="D74">
        <f t="shared" si="14"/>
        <v>269.97000000000003</v>
      </c>
      <c r="E74" t="str">
        <f t="shared" si="15"/>
        <v xml:space="preserve"> </v>
      </c>
      <c r="F74" t="str">
        <f t="shared" si="16"/>
        <v/>
      </c>
      <c r="G74" t="str">
        <f t="shared" si="11"/>
        <v xml:space="preserve"> </v>
      </c>
      <c r="H74" t="str">
        <f t="shared" si="12"/>
        <v/>
      </c>
      <c r="I74" t="str">
        <f t="shared" si="13"/>
        <v/>
      </c>
      <c r="K74">
        <f>Table1[[#This Row],[Quantity]]</f>
        <v>2</v>
      </c>
      <c r="L74" t="str">
        <f>Table1[[#This Row],[Category]]</f>
        <v>Furniture</v>
      </c>
      <c r="M74" t="str">
        <f>Table1[[#This Row],[Product_Name]]</f>
        <v>Bookshelf</v>
      </c>
      <c r="N74" t="str">
        <f t="shared" ref="N74:N137" si="19">IF(AND(K74=$M$3,L74=$L$3),M74,"no")</f>
        <v>no</v>
      </c>
      <c r="O74" t="str">
        <f t="shared" si="17"/>
        <v>no</v>
      </c>
      <c r="P74" t="str">
        <f t="shared" si="18"/>
        <v>no</v>
      </c>
    </row>
    <row r="75" spans="1:16" x14ac:dyDescent="0.3">
      <c r="A75" s="8" t="s">
        <v>195</v>
      </c>
      <c r="B75" s="7" t="s">
        <v>21</v>
      </c>
      <c r="C75" s="14">
        <v>269.97000000000003</v>
      </c>
      <c r="D75">
        <f t="shared" si="14"/>
        <v>269.97000000000003</v>
      </c>
      <c r="E75" t="str">
        <f t="shared" si="15"/>
        <v xml:space="preserve"> </v>
      </c>
      <c r="F75" t="str">
        <f t="shared" si="16"/>
        <v/>
      </c>
      <c r="G75" t="str">
        <f t="shared" si="11"/>
        <v xml:space="preserve"> </v>
      </c>
      <c r="H75" t="str">
        <f t="shared" si="12"/>
        <v/>
      </c>
      <c r="I75" t="str">
        <f t="shared" si="13"/>
        <v/>
      </c>
      <c r="K75">
        <f>Table1[[#This Row],[Quantity]]</f>
        <v>2</v>
      </c>
      <c r="L75" t="str">
        <f>Table1[[#This Row],[Category]]</f>
        <v>Electronics</v>
      </c>
      <c r="M75" t="str">
        <f>Table1[[#This Row],[Product_Name]]</f>
        <v>Keyboard</v>
      </c>
      <c r="N75" t="str">
        <f t="shared" si="19"/>
        <v>no</v>
      </c>
      <c r="O75" t="str">
        <f t="shared" si="17"/>
        <v>no</v>
      </c>
      <c r="P75" t="str">
        <f t="shared" si="18"/>
        <v>no</v>
      </c>
    </row>
    <row r="76" spans="1:16" x14ac:dyDescent="0.3">
      <c r="A76" s="7" t="s">
        <v>195</v>
      </c>
      <c r="B76" s="8" t="s">
        <v>21</v>
      </c>
      <c r="C76" s="15">
        <v>269.97000000000003</v>
      </c>
      <c r="D76">
        <f t="shared" si="14"/>
        <v>269.97000000000003</v>
      </c>
      <c r="E76" t="str">
        <f t="shared" si="15"/>
        <v xml:space="preserve"> </v>
      </c>
      <c r="F76" t="str">
        <f t="shared" si="16"/>
        <v/>
      </c>
      <c r="G76" t="str">
        <f t="shared" si="11"/>
        <v xml:space="preserve"> </v>
      </c>
      <c r="H76" t="str">
        <f t="shared" si="12"/>
        <v/>
      </c>
      <c r="I76" t="str">
        <f t="shared" si="13"/>
        <v/>
      </c>
      <c r="K76">
        <f>Table1[[#This Row],[Quantity]]</f>
        <v>2</v>
      </c>
      <c r="L76" t="str">
        <f>Table1[[#This Row],[Category]]</f>
        <v>Electronics</v>
      </c>
      <c r="M76" t="str">
        <f>Table1[[#This Row],[Product_Name]]</f>
        <v>Keyboard</v>
      </c>
      <c r="N76" t="str">
        <f t="shared" si="19"/>
        <v>no</v>
      </c>
      <c r="O76" t="str">
        <f t="shared" si="17"/>
        <v>no</v>
      </c>
      <c r="P76" t="str">
        <f t="shared" si="18"/>
        <v>no</v>
      </c>
    </row>
    <row r="77" spans="1:16" x14ac:dyDescent="0.3">
      <c r="A77" s="8" t="s">
        <v>199</v>
      </c>
      <c r="B77" s="7" t="s">
        <v>21</v>
      </c>
      <c r="C77" s="14">
        <v>269.97000000000003</v>
      </c>
      <c r="D77">
        <f t="shared" si="14"/>
        <v>269.97000000000003</v>
      </c>
      <c r="E77" t="str">
        <f t="shared" si="15"/>
        <v xml:space="preserve"> </v>
      </c>
      <c r="F77" t="str">
        <f t="shared" si="16"/>
        <v/>
      </c>
      <c r="G77" t="str">
        <f t="shared" si="11"/>
        <v xml:space="preserve"> </v>
      </c>
      <c r="H77" t="str">
        <f t="shared" si="12"/>
        <v/>
      </c>
      <c r="I77" t="str">
        <f t="shared" si="13"/>
        <v/>
      </c>
      <c r="K77">
        <f>Table1[[#This Row],[Quantity]]</f>
        <v>2</v>
      </c>
      <c r="L77" t="str">
        <f>Table1[[#This Row],[Category]]</f>
        <v>Furniture</v>
      </c>
      <c r="M77" t="str">
        <f>Table1[[#This Row],[Product_Name]]</f>
        <v>Bookshelf</v>
      </c>
      <c r="N77" t="str">
        <f t="shared" si="19"/>
        <v>no</v>
      </c>
      <c r="O77" t="str">
        <f t="shared" si="17"/>
        <v>no</v>
      </c>
      <c r="P77" t="str">
        <f t="shared" si="18"/>
        <v>no</v>
      </c>
    </row>
    <row r="78" spans="1:16" x14ac:dyDescent="0.3">
      <c r="A78" s="7" t="s">
        <v>75</v>
      </c>
      <c r="B78" s="7" t="s">
        <v>21</v>
      </c>
      <c r="C78" s="14">
        <v>269.97000000000003</v>
      </c>
      <c r="D78">
        <f t="shared" si="14"/>
        <v>269.97000000000003</v>
      </c>
      <c r="E78" t="str">
        <f t="shared" si="15"/>
        <v xml:space="preserve"> </v>
      </c>
      <c r="F78" t="str">
        <f t="shared" si="16"/>
        <v/>
      </c>
      <c r="G78" t="str">
        <f t="shared" si="11"/>
        <v xml:space="preserve"> </v>
      </c>
      <c r="H78" t="str">
        <f t="shared" si="12"/>
        <v/>
      </c>
      <c r="I78" t="str">
        <f t="shared" si="13"/>
        <v/>
      </c>
      <c r="K78">
        <f>Table1[[#This Row],[Quantity]]</f>
        <v>2</v>
      </c>
      <c r="L78" t="str">
        <f>Table1[[#This Row],[Category]]</f>
        <v>Furniture</v>
      </c>
      <c r="M78" t="str">
        <f>Table1[[#This Row],[Product_Name]]</f>
        <v>Desk</v>
      </c>
      <c r="N78" t="str">
        <f t="shared" si="19"/>
        <v>no</v>
      </c>
      <c r="O78" t="str">
        <f t="shared" si="17"/>
        <v>no</v>
      </c>
      <c r="P78" t="str">
        <f t="shared" si="18"/>
        <v>no</v>
      </c>
    </row>
    <row r="79" spans="1:16" x14ac:dyDescent="0.3">
      <c r="A79" s="8" t="s">
        <v>68</v>
      </c>
      <c r="B79" s="8" t="s">
        <v>35</v>
      </c>
      <c r="C79" s="15">
        <v>299.95</v>
      </c>
      <c r="D79" t="str">
        <f t="shared" si="14"/>
        <v xml:space="preserve"> </v>
      </c>
      <c r="E79">
        <f t="shared" si="15"/>
        <v>299.95</v>
      </c>
      <c r="F79" t="str">
        <f t="shared" si="16"/>
        <v/>
      </c>
      <c r="G79" t="str">
        <f t="shared" si="11"/>
        <v xml:space="preserve"> </v>
      </c>
      <c r="H79" t="str">
        <f t="shared" si="12"/>
        <v/>
      </c>
      <c r="I79" t="str">
        <f t="shared" si="13"/>
        <v/>
      </c>
      <c r="K79">
        <f>Table1[[#This Row],[Quantity]]</f>
        <v>2</v>
      </c>
      <c r="L79" t="str">
        <f>Table1[[#This Row],[Category]]</f>
        <v>Furniture</v>
      </c>
      <c r="M79" t="str">
        <f>Table1[[#This Row],[Product_Name]]</f>
        <v>Bookshelf</v>
      </c>
      <c r="N79" t="str">
        <f t="shared" si="19"/>
        <v>no</v>
      </c>
      <c r="O79" t="str">
        <f t="shared" si="17"/>
        <v>no</v>
      </c>
      <c r="P79" t="str">
        <f t="shared" si="18"/>
        <v>no</v>
      </c>
    </row>
    <row r="80" spans="1:16" x14ac:dyDescent="0.3">
      <c r="A80" s="7" t="s">
        <v>153</v>
      </c>
      <c r="B80" s="7" t="s">
        <v>35</v>
      </c>
      <c r="C80" s="14">
        <v>299.95</v>
      </c>
      <c r="D80" t="str">
        <f t="shared" si="14"/>
        <v xml:space="preserve"> </v>
      </c>
      <c r="E80">
        <f t="shared" si="15"/>
        <v>299.95</v>
      </c>
      <c r="F80" t="str">
        <f t="shared" si="16"/>
        <v/>
      </c>
      <c r="G80" t="str">
        <f t="shared" si="11"/>
        <v xml:space="preserve"> </v>
      </c>
      <c r="H80" t="str">
        <f t="shared" si="12"/>
        <v/>
      </c>
      <c r="I80" t="str">
        <f t="shared" si="13"/>
        <v/>
      </c>
      <c r="K80">
        <f>Table1[[#This Row],[Quantity]]</f>
        <v>2</v>
      </c>
      <c r="L80" t="str">
        <f>Table1[[#This Row],[Category]]</f>
        <v>Furniture</v>
      </c>
      <c r="M80" t="str">
        <f>Table1[[#This Row],[Product_Name]]</f>
        <v>Bookshelf</v>
      </c>
      <c r="N80" t="str">
        <f t="shared" si="19"/>
        <v>no</v>
      </c>
      <c r="O80" t="str">
        <f t="shared" si="17"/>
        <v>no</v>
      </c>
      <c r="P80" t="str">
        <f t="shared" si="18"/>
        <v>no</v>
      </c>
    </row>
    <row r="81" spans="1:16" x14ac:dyDescent="0.3">
      <c r="A81" s="8" t="s">
        <v>27</v>
      </c>
      <c r="B81" s="7" t="s">
        <v>35</v>
      </c>
      <c r="C81" s="14">
        <v>299.95</v>
      </c>
      <c r="D81" t="str">
        <f t="shared" si="14"/>
        <v xml:space="preserve"> </v>
      </c>
      <c r="E81">
        <f t="shared" si="15"/>
        <v>299.95</v>
      </c>
      <c r="F81" t="str">
        <f t="shared" si="16"/>
        <v/>
      </c>
      <c r="G81" t="str">
        <f t="shared" si="11"/>
        <v xml:space="preserve"> </v>
      </c>
      <c r="H81" t="str">
        <f t="shared" si="12"/>
        <v/>
      </c>
      <c r="I81" t="str">
        <f t="shared" si="13"/>
        <v/>
      </c>
      <c r="K81">
        <f>Table1[[#This Row],[Quantity]]</f>
        <v>2</v>
      </c>
      <c r="L81" t="str">
        <f>Table1[[#This Row],[Category]]</f>
        <v>Appliances</v>
      </c>
      <c r="M81" t="str">
        <f>Table1[[#This Row],[Product_Name]]</f>
        <v>Blender</v>
      </c>
      <c r="N81" t="str">
        <f t="shared" si="19"/>
        <v>no</v>
      </c>
      <c r="O81" t="str">
        <f t="shared" si="17"/>
        <v>no</v>
      </c>
      <c r="P81" t="str">
        <f t="shared" si="18"/>
        <v>no</v>
      </c>
    </row>
    <row r="82" spans="1:16" x14ac:dyDescent="0.3">
      <c r="A82" s="7" t="s">
        <v>185</v>
      </c>
      <c r="B82" s="8" t="s">
        <v>35</v>
      </c>
      <c r="C82" s="15">
        <v>299.95</v>
      </c>
      <c r="D82" t="str">
        <f t="shared" si="14"/>
        <v xml:space="preserve"> </v>
      </c>
      <c r="E82">
        <f t="shared" si="15"/>
        <v>299.95</v>
      </c>
      <c r="F82" t="str">
        <f t="shared" si="16"/>
        <v/>
      </c>
      <c r="G82" t="str">
        <f t="shared" si="11"/>
        <v xml:space="preserve"> </v>
      </c>
      <c r="H82" t="str">
        <f t="shared" si="12"/>
        <v/>
      </c>
      <c r="I82" t="str">
        <f t="shared" si="13"/>
        <v/>
      </c>
      <c r="K82">
        <f>Table1[[#This Row],[Quantity]]</f>
        <v>2</v>
      </c>
      <c r="L82" t="str">
        <f>Table1[[#This Row],[Category]]</f>
        <v>Appliances</v>
      </c>
      <c r="M82" t="str">
        <f>Table1[[#This Row],[Product_Name]]</f>
        <v>Blender</v>
      </c>
      <c r="N82" t="str">
        <f t="shared" si="19"/>
        <v>no</v>
      </c>
      <c r="O82" t="str">
        <f t="shared" si="17"/>
        <v>no</v>
      </c>
      <c r="P82" t="str">
        <f t="shared" si="18"/>
        <v>no</v>
      </c>
    </row>
    <row r="83" spans="1:16" x14ac:dyDescent="0.3">
      <c r="A83" s="8" t="s">
        <v>199</v>
      </c>
      <c r="B83" s="8" t="s">
        <v>21</v>
      </c>
      <c r="C83" s="15">
        <v>299.98</v>
      </c>
      <c r="D83">
        <f t="shared" si="14"/>
        <v>299.98</v>
      </c>
      <c r="E83" t="str">
        <f t="shared" si="15"/>
        <v xml:space="preserve"> </v>
      </c>
      <c r="F83" t="str">
        <f t="shared" si="16"/>
        <v/>
      </c>
      <c r="G83" t="str">
        <f t="shared" si="11"/>
        <v xml:space="preserve"> </v>
      </c>
      <c r="H83" t="str">
        <f t="shared" si="12"/>
        <v/>
      </c>
      <c r="I83" t="str">
        <f t="shared" si="13"/>
        <v/>
      </c>
      <c r="K83">
        <f>Table1[[#This Row],[Quantity]]</f>
        <v>2</v>
      </c>
      <c r="L83" t="str">
        <f>Table1[[#This Row],[Category]]</f>
        <v>Electronics</v>
      </c>
      <c r="M83" t="str">
        <f>Table1[[#This Row],[Product_Name]]</f>
        <v>Keyboard</v>
      </c>
      <c r="N83" t="str">
        <f t="shared" si="19"/>
        <v>no</v>
      </c>
      <c r="O83" t="str">
        <f t="shared" si="17"/>
        <v>no</v>
      </c>
      <c r="P83" t="str">
        <f t="shared" si="18"/>
        <v>no</v>
      </c>
    </row>
    <row r="84" spans="1:16" x14ac:dyDescent="0.3">
      <c r="A84" s="7" t="s">
        <v>99</v>
      </c>
      <c r="B84" s="8" t="s">
        <v>21</v>
      </c>
      <c r="C84" s="15">
        <v>299.98</v>
      </c>
      <c r="D84">
        <f t="shared" si="14"/>
        <v>299.98</v>
      </c>
      <c r="E84" t="str">
        <f t="shared" si="15"/>
        <v xml:space="preserve"> </v>
      </c>
      <c r="F84" t="str">
        <f t="shared" si="16"/>
        <v/>
      </c>
      <c r="G84" t="str">
        <f t="shared" ref="G84:G147" si="20">IF(C84=4499.95,A84," ")</f>
        <v xml:space="preserve"> </v>
      </c>
      <c r="H84" t="str">
        <f t="shared" ref="H84:H147" si="21">IF(C84=$B$4,A84,"")</f>
        <v/>
      </c>
      <c r="I84" t="str">
        <f t="shared" ref="I84:I147" si="22">IF(C84=$B$5,A84,"")</f>
        <v/>
      </c>
      <c r="K84">
        <f>Table1[[#This Row],[Quantity]]</f>
        <v>2</v>
      </c>
      <c r="L84" t="str">
        <f>Table1[[#This Row],[Category]]</f>
        <v>Electronics</v>
      </c>
      <c r="M84" t="str">
        <f>Table1[[#This Row],[Product_Name]]</f>
        <v>Keyboard</v>
      </c>
      <c r="N84" t="str">
        <f t="shared" si="19"/>
        <v>no</v>
      </c>
      <c r="O84" t="str">
        <f t="shared" si="17"/>
        <v>no</v>
      </c>
      <c r="P84" t="str">
        <f t="shared" si="18"/>
        <v>no</v>
      </c>
    </row>
    <row r="85" spans="1:16" x14ac:dyDescent="0.3">
      <c r="A85" s="8" t="s">
        <v>150</v>
      </c>
      <c r="B85" s="7" t="s">
        <v>21</v>
      </c>
      <c r="C85" s="14">
        <v>299.98</v>
      </c>
      <c r="D85">
        <f t="shared" si="14"/>
        <v>299.98</v>
      </c>
      <c r="E85" t="str">
        <f t="shared" si="15"/>
        <v xml:space="preserve"> </v>
      </c>
      <c r="F85" t="str">
        <f t="shared" si="16"/>
        <v/>
      </c>
      <c r="G85" t="str">
        <f t="shared" si="20"/>
        <v xml:space="preserve"> </v>
      </c>
      <c r="H85" t="str">
        <f t="shared" si="21"/>
        <v/>
      </c>
      <c r="I85" t="str">
        <f t="shared" si="22"/>
        <v/>
      </c>
      <c r="K85">
        <f>Table1[[#This Row],[Quantity]]</f>
        <v>2</v>
      </c>
      <c r="L85" t="str">
        <f>Table1[[#This Row],[Category]]</f>
        <v>Furniture</v>
      </c>
      <c r="M85" t="str">
        <f>Table1[[#This Row],[Product_Name]]</f>
        <v>Desk</v>
      </c>
      <c r="N85" t="str">
        <f t="shared" si="19"/>
        <v>no</v>
      </c>
      <c r="O85" t="str">
        <f t="shared" si="17"/>
        <v>no</v>
      </c>
      <c r="P85" t="str">
        <f t="shared" si="18"/>
        <v>no</v>
      </c>
    </row>
    <row r="86" spans="1:16" x14ac:dyDescent="0.3">
      <c r="A86" s="7" t="s">
        <v>89</v>
      </c>
      <c r="B86" s="8" t="s">
        <v>21</v>
      </c>
      <c r="C86" s="15">
        <v>299.98</v>
      </c>
      <c r="D86">
        <f t="shared" si="14"/>
        <v>299.98</v>
      </c>
      <c r="E86" t="str">
        <f t="shared" si="15"/>
        <v xml:space="preserve"> </v>
      </c>
      <c r="F86" t="str">
        <f t="shared" si="16"/>
        <v/>
      </c>
      <c r="G86" t="str">
        <f t="shared" si="20"/>
        <v xml:space="preserve"> </v>
      </c>
      <c r="H86" t="str">
        <f t="shared" si="21"/>
        <v/>
      </c>
      <c r="I86" t="str">
        <f t="shared" si="22"/>
        <v/>
      </c>
      <c r="K86">
        <f>Table1[[#This Row],[Quantity]]</f>
        <v>2</v>
      </c>
      <c r="L86" t="str">
        <f>Table1[[#This Row],[Category]]</f>
        <v>Electronics</v>
      </c>
      <c r="M86" t="str">
        <f>Table1[[#This Row],[Product_Name]]</f>
        <v>Smartphone</v>
      </c>
      <c r="N86" t="str">
        <f t="shared" si="19"/>
        <v>no</v>
      </c>
      <c r="O86" t="str">
        <f t="shared" si="17"/>
        <v>no</v>
      </c>
      <c r="P86" t="str">
        <f t="shared" si="18"/>
        <v>no</v>
      </c>
    </row>
    <row r="87" spans="1:16" x14ac:dyDescent="0.3">
      <c r="A87" s="8" t="s">
        <v>150</v>
      </c>
      <c r="B87" s="8" t="s">
        <v>21</v>
      </c>
      <c r="C87" s="15">
        <v>299.98</v>
      </c>
      <c r="D87">
        <f t="shared" si="14"/>
        <v>299.98</v>
      </c>
      <c r="E87" t="str">
        <f t="shared" si="15"/>
        <v xml:space="preserve"> </v>
      </c>
      <c r="F87" t="str">
        <f t="shared" si="16"/>
        <v/>
      </c>
      <c r="G87" t="str">
        <f t="shared" si="20"/>
        <v xml:space="preserve"> </v>
      </c>
      <c r="H87" t="str">
        <f t="shared" si="21"/>
        <v/>
      </c>
      <c r="I87" t="str">
        <f t="shared" si="22"/>
        <v/>
      </c>
      <c r="K87">
        <f>Table1[[#This Row],[Quantity]]</f>
        <v>2</v>
      </c>
      <c r="L87" t="str">
        <f>Table1[[#This Row],[Category]]</f>
        <v>Electronics</v>
      </c>
      <c r="M87" t="str">
        <f>Table1[[#This Row],[Product_Name]]</f>
        <v>Keyboard</v>
      </c>
      <c r="N87" t="str">
        <f t="shared" si="19"/>
        <v>no</v>
      </c>
      <c r="O87" t="str">
        <f t="shared" si="17"/>
        <v>no</v>
      </c>
      <c r="P87" t="str">
        <f t="shared" si="18"/>
        <v>no</v>
      </c>
    </row>
    <row r="88" spans="1:16" x14ac:dyDescent="0.3">
      <c r="A88" s="7" t="s">
        <v>89</v>
      </c>
      <c r="B88" s="7" t="s">
        <v>48</v>
      </c>
      <c r="C88" s="14">
        <v>299.98</v>
      </c>
      <c r="D88" t="str">
        <f t="shared" si="14"/>
        <v xml:space="preserve"> </v>
      </c>
      <c r="E88" t="str">
        <f t="shared" si="15"/>
        <v xml:space="preserve"> </v>
      </c>
      <c r="F88">
        <f t="shared" si="16"/>
        <v>299.98</v>
      </c>
      <c r="G88" t="str">
        <f t="shared" si="20"/>
        <v xml:space="preserve"> </v>
      </c>
      <c r="H88" t="str">
        <f t="shared" si="21"/>
        <v/>
      </c>
      <c r="I88" t="str">
        <f t="shared" si="22"/>
        <v/>
      </c>
      <c r="K88">
        <f>Table1[[#This Row],[Quantity]]</f>
        <v>2</v>
      </c>
      <c r="L88" t="str">
        <f>Table1[[#This Row],[Category]]</f>
        <v>Appliances</v>
      </c>
      <c r="M88" t="str">
        <f>Table1[[#This Row],[Product_Name]]</f>
        <v>Blender</v>
      </c>
      <c r="N88" t="str">
        <f t="shared" si="19"/>
        <v>no</v>
      </c>
      <c r="O88" t="str">
        <f t="shared" si="17"/>
        <v>no</v>
      </c>
      <c r="P88" t="str">
        <f t="shared" si="18"/>
        <v>no</v>
      </c>
    </row>
    <row r="89" spans="1:16" x14ac:dyDescent="0.3">
      <c r="A89" s="8" t="s">
        <v>123</v>
      </c>
      <c r="B89" s="7" t="s">
        <v>48</v>
      </c>
      <c r="C89" s="14">
        <v>299.98</v>
      </c>
      <c r="D89" t="str">
        <f t="shared" si="14"/>
        <v xml:space="preserve"> </v>
      </c>
      <c r="E89" t="str">
        <f t="shared" si="15"/>
        <v xml:space="preserve"> </v>
      </c>
      <c r="F89">
        <f t="shared" si="16"/>
        <v>299.98</v>
      </c>
      <c r="G89" t="str">
        <f t="shared" si="20"/>
        <v xml:space="preserve"> </v>
      </c>
      <c r="H89" t="str">
        <f t="shared" si="21"/>
        <v/>
      </c>
      <c r="I89" t="str">
        <f t="shared" si="22"/>
        <v/>
      </c>
      <c r="K89">
        <f>Table1[[#This Row],[Quantity]]</f>
        <v>2</v>
      </c>
      <c r="L89" t="str">
        <f>Table1[[#This Row],[Category]]</f>
        <v>Furniture</v>
      </c>
      <c r="M89" t="str">
        <f>Table1[[#This Row],[Product_Name]]</f>
        <v>Bookshelf</v>
      </c>
      <c r="N89" t="str">
        <f t="shared" si="19"/>
        <v>no</v>
      </c>
      <c r="O89" t="str">
        <f t="shared" si="17"/>
        <v>no</v>
      </c>
      <c r="P89" t="str">
        <f t="shared" si="18"/>
        <v>no</v>
      </c>
    </row>
    <row r="90" spans="1:16" x14ac:dyDescent="0.3">
      <c r="A90" s="7" t="s">
        <v>214</v>
      </c>
      <c r="B90" s="7" t="s">
        <v>48</v>
      </c>
      <c r="C90" s="14">
        <v>299.98</v>
      </c>
      <c r="D90" t="str">
        <f t="shared" si="14"/>
        <v xml:space="preserve"> </v>
      </c>
      <c r="E90" t="str">
        <f t="shared" si="15"/>
        <v xml:space="preserve"> </v>
      </c>
      <c r="F90">
        <f t="shared" si="16"/>
        <v>299.98</v>
      </c>
      <c r="G90" t="str">
        <f t="shared" si="20"/>
        <v xml:space="preserve"> </v>
      </c>
      <c r="H90" t="str">
        <f t="shared" si="21"/>
        <v/>
      </c>
      <c r="I90" t="str">
        <f t="shared" si="22"/>
        <v/>
      </c>
      <c r="K90">
        <f>Table1[[#This Row],[Quantity]]</f>
        <v>2</v>
      </c>
      <c r="L90" t="str">
        <f>Table1[[#This Row],[Category]]</f>
        <v>Furniture</v>
      </c>
      <c r="M90" t="str">
        <f>Table1[[#This Row],[Product_Name]]</f>
        <v>Desk</v>
      </c>
      <c r="N90" t="str">
        <f t="shared" si="19"/>
        <v>no</v>
      </c>
      <c r="O90" t="str">
        <f t="shared" si="17"/>
        <v>no</v>
      </c>
      <c r="P90" t="str">
        <f t="shared" si="18"/>
        <v>no</v>
      </c>
    </row>
    <row r="91" spans="1:16" x14ac:dyDescent="0.3">
      <c r="A91" s="8" t="s">
        <v>105</v>
      </c>
      <c r="B91" s="8" t="s">
        <v>48</v>
      </c>
      <c r="C91" s="15">
        <v>299.98</v>
      </c>
      <c r="D91" t="str">
        <f t="shared" si="14"/>
        <v xml:space="preserve"> </v>
      </c>
      <c r="E91" t="str">
        <f t="shared" si="15"/>
        <v xml:space="preserve"> </v>
      </c>
      <c r="F91">
        <f t="shared" si="16"/>
        <v>299.98</v>
      </c>
      <c r="G91" t="str">
        <f t="shared" si="20"/>
        <v xml:space="preserve"> </v>
      </c>
      <c r="H91" t="str">
        <f t="shared" si="21"/>
        <v/>
      </c>
      <c r="I91" t="str">
        <f t="shared" si="22"/>
        <v/>
      </c>
      <c r="K91">
        <f>Table1[[#This Row],[Quantity]]</f>
        <v>2</v>
      </c>
      <c r="L91" t="str">
        <f>Table1[[#This Row],[Category]]</f>
        <v>Furniture</v>
      </c>
      <c r="M91" t="str">
        <f>Table1[[#This Row],[Product_Name]]</f>
        <v>Desk</v>
      </c>
      <c r="N91" t="str">
        <f t="shared" si="19"/>
        <v>no</v>
      </c>
      <c r="O91" t="str">
        <f t="shared" si="17"/>
        <v>no</v>
      </c>
      <c r="P91" t="str">
        <f t="shared" si="18"/>
        <v>no</v>
      </c>
    </row>
    <row r="92" spans="1:16" x14ac:dyDescent="0.3">
      <c r="A92" s="7" t="s">
        <v>92</v>
      </c>
      <c r="B92" s="7" t="s">
        <v>48</v>
      </c>
      <c r="C92" s="14">
        <v>299.98</v>
      </c>
      <c r="D92" t="str">
        <f t="shared" si="14"/>
        <v xml:space="preserve"> </v>
      </c>
      <c r="E92" t="str">
        <f t="shared" si="15"/>
        <v xml:space="preserve"> </v>
      </c>
      <c r="F92">
        <f t="shared" si="16"/>
        <v>299.98</v>
      </c>
      <c r="G92" t="str">
        <f t="shared" si="20"/>
        <v xml:space="preserve"> </v>
      </c>
      <c r="H92" t="str">
        <f t="shared" si="21"/>
        <v/>
      </c>
      <c r="I92" t="str">
        <f t="shared" si="22"/>
        <v/>
      </c>
      <c r="K92">
        <f>Table1[[#This Row],[Quantity]]</f>
        <v>2</v>
      </c>
      <c r="L92" t="str">
        <f>Table1[[#This Row],[Category]]</f>
        <v>Furniture</v>
      </c>
      <c r="M92" t="str">
        <f>Table1[[#This Row],[Product_Name]]</f>
        <v>Bookshelf</v>
      </c>
      <c r="N92" t="str">
        <f t="shared" si="19"/>
        <v>no</v>
      </c>
      <c r="O92" t="str">
        <f t="shared" si="17"/>
        <v>no</v>
      </c>
      <c r="P92" t="str">
        <f t="shared" si="18"/>
        <v>no</v>
      </c>
    </row>
    <row r="93" spans="1:16" x14ac:dyDescent="0.3">
      <c r="A93" s="8" t="s">
        <v>89</v>
      </c>
      <c r="B93" s="8" t="s">
        <v>48</v>
      </c>
      <c r="C93" s="15">
        <v>299.98</v>
      </c>
      <c r="D93" t="str">
        <f t="shared" si="14"/>
        <v xml:space="preserve"> </v>
      </c>
      <c r="E93" t="str">
        <f t="shared" si="15"/>
        <v xml:space="preserve"> </v>
      </c>
      <c r="F93">
        <f t="shared" si="16"/>
        <v>299.98</v>
      </c>
      <c r="G93" t="str">
        <f t="shared" si="20"/>
        <v xml:space="preserve"> </v>
      </c>
      <c r="H93" t="str">
        <f t="shared" si="21"/>
        <v/>
      </c>
      <c r="I93" t="str">
        <f t="shared" si="22"/>
        <v/>
      </c>
      <c r="K93">
        <f>Table1[[#This Row],[Quantity]]</f>
        <v>2</v>
      </c>
      <c r="L93" t="str">
        <f>Table1[[#This Row],[Category]]</f>
        <v>Furniture</v>
      </c>
      <c r="M93" t="str">
        <f>Table1[[#This Row],[Product_Name]]</f>
        <v>Office Chair</v>
      </c>
      <c r="N93" t="str">
        <f t="shared" si="19"/>
        <v>no</v>
      </c>
      <c r="O93" t="str">
        <f t="shared" si="17"/>
        <v>no</v>
      </c>
      <c r="P93" t="str">
        <f t="shared" si="18"/>
        <v>no</v>
      </c>
    </row>
    <row r="94" spans="1:16" x14ac:dyDescent="0.3">
      <c r="A94" s="7" t="s">
        <v>185</v>
      </c>
      <c r="B94" s="7" t="s">
        <v>48</v>
      </c>
      <c r="C94" s="14">
        <v>299.98</v>
      </c>
      <c r="D94" t="str">
        <f t="shared" si="14"/>
        <v xml:space="preserve"> </v>
      </c>
      <c r="E94" t="str">
        <f t="shared" si="15"/>
        <v xml:space="preserve"> </v>
      </c>
      <c r="F94">
        <f t="shared" si="16"/>
        <v>299.98</v>
      </c>
      <c r="G94" t="str">
        <f t="shared" si="20"/>
        <v xml:space="preserve"> </v>
      </c>
      <c r="H94" t="str">
        <f t="shared" si="21"/>
        <v/>
      </c>
      <c r="I94" t="str">
        <f t="shared" si="22"/>
        <v/>
      </c>
      <c r="K94">
        <f>Table1[[#This Row],[Quantity]]</f>
        <v>2</v>
      </c>
      <c r="L94" t="str">
        <f>Table1[[#This Row],[Category]]</f>
        <v>Furniture</v>
      </c>
      <c r="M94" t="str">
        <f>Table1[[#This Row],[Product_Name]]</f>
        <v>Desk</v>
      </c>
      <c r="N94" t="str">
        <f t="shared" si="19"/>
        <v>no</v>
      </c>
      <c r="O94" t="str">
        <f t="shared" si="17"/>
        <v>no</v>
      </c>
      <c r="P94" t="str">
        <f t="shared" si="18"/>
        <v>no</v>
      </c>
    </row>
    <row r="95" spans="1:16" x14ac:dyDescent="0.3">
      <c r="A95" s="8" t="s">
        <v>188</v>
      </c>
      <c r="B95" s="7" t="s">
        <v>48</v>
      </c>
      <c r="C95" s="14">
        <v>299.98</v>
      </c>
      <c r="D95" t="str">
        <f t="shared" si="14"/>
        <v xml:space="preserve"> </v>
      </c>
      <c r="E95" t="str">
        <f t="shared" si="15"/>
        <v xml:space="preserve"> </v>
      </c>
      <c r="F95">
        <f t="shared" si="16"/>
        <v>299.98</v>
      </c>
      <c r="G95" t="str">
        <f t="shared" si="20"/>
        <v xml:space="preserve"> </v>
      </c>
      <c r="H95" t="str">
        <f t="shared" si="21"/>
        <v/>
      </c>
      <c r="I95" t="str">
        <f t="shared" si="22"/>
        <v/>
      </c>
      <c r="K95">
        <f>Table1[[#This Row],[Quantity]]</f>
        <v>2</v>
      </c>
      <c r="L95" t="str">
        <f>Table1[[#This Row],[Category]]</f>
        <v>Furniture</v>
      </c>
      <c r="M95" t="str">
        <f>Table1[[#This Row],[Product_Name]]</f>
        <v>Bookshelf</v>
      </c>
      <c r="N95" t="str">
        <f t="shared" si="19"/>
        <v>no</v>
      </c>
      <c r="O95" t="str">
        <f t="shared" si="17"/>
        <v>no</v>
      </c>
      <c r="P95" t="str">
        <f t="shared" si="18"/>
        <v>no</v>
      </c>
    </row>
    <row r="96" spans="1:16" x14ac:dyDescent="0.3">
      <c r="A96" s="7" t="s">
        <v>68</v>
      </c>
      <c r="B96" s="8" t="s">
        <v>48</v>
      </c>
      <c r="C96" s="15">
        <v>299.98</v>
      </c>
      <c r="D96" t="str">
        <f t="shared" si="14"/>
        <v xml:space="preserve"> </v>
      </c>
      <c r="E96" t="str">
        <f t="shared" si="15"/>
        <v xml:space="preserve"> </v>
      </c>
      <c r="F96">
        <f t="shared" si="16"/>
        <v>299.98</v>
      </c>
      <c r="G96" t="str">
        <f t="shared" si="20"/>
        <v xml:space="preserve"> </v>
      </c>
      <c r="H96" t="str">
        <f t="shared" si="21"/>
        <v/>
      </c>
      <c r="I96" t="str">
        <f t="shared" si="22"/>
        <v/>
      </c>
      <c r="K96">
        <f>Table1[[#This Row],[Quantity]]</f>
        <v>2</v>
      </c>
      <c r="L96" t="str">
        <f>Table1[[#This Row],[Category]]</f>
        <v>Furniture</v>
      </c>
      <c r="M96" t="str">
        <f>Table1[[#This Row],[Product_Name]]</f>
        <v>Bookshelf</v>
      </c>
      <c r="N96" t="str">
        <f t="shared" si="19"/>
        <v>no</v>
      </c>
      <c r="O96" t="str">
        <f t="shared" si="17"/>
        <v>no</v>
      </c>
      <c r="P96" t="str">
        <f t="shared" si="18"/>
        <v>no</v>
      </c>
    </row>
    <row r="97" spans="1:16" x14ac:dyDescent="0.3">
      <c r="A97" s="8" t="s">
        <v>41</v>
      </c>
      <c r="B97" s="7" t="s">
        <v>48</v>
      </c>
      <c r="C97" s="14">
        <v>299.98</v>
      </c>
      <c r="D97" t="str">
        <f t="shared" si="14"/>
        <v xml:space="preserve"> </v>
      </c>
      <c r="E97" t="str">
        <f t="shared" si="15"/>
        <v xml:space="preserve"> </v>
      </c>
      <c r="F97">
        <f t="shared" si="16"/>
        <v>299.98</v>
      </c>
      <c r="G97" t="str">
        <f t="shared" si="20"/>
        <v xml:space="preserve"> </v>
      </c>
      <c r="H97" t="str">
        <f t="shared" si="21"/>
        <v/>
      </c>
      <c r="I97" t="str">
        <f t="shared" si="22"/>
        <v/>
      </c>
      <c r="K97">
        <f>Table1[[#This Row],[Quantity]]</f>
        <v>2</v>
      </c>
      <c r="L97" t="str">
        <f>Table1[[#This Row],[Category]]</f>
        <v>Furniture</v>
      </c>
      <c r="M97" t="str">
        <f>Table1[[#This Row],[Product_Name]]</f>
        <v>Bookshelf</v>
      </c>
      <c r="N97" t="str">
        <f t="shared" si="19"/>
        <v>no</v>
      </c>
      <c r="O97" t="str">
        <f t="shared" si="17"/>
        <v>no</v>
      </c>
      <c r="P97" t="str">
        <f t="shared" si="18"/>
        <v>no</v>
      </c>
    </row>
    <row r="98" spans="1:16" x14ac:dyDescent="0.3">
      <c r="A98" s="7" t="s">
        <v>161</v>
      </c>
      <c r="B98" s="8" t="s">
        <v>48</v>
      </c>
      <c r="C98" s="15">
        <v>299.98</v>
      </c>
      <c r="D98" t="str">
        <f t="shared" si="14"/>
        <v xml:space="preserve"> </v>
      </c>
      <c r="E98" t="str">
        <f t="shared" si="15"/>
        <v xml:space="preserve"> </v>
      </c>
      <c r="F98">
        <f t="shared" si="16"/>
        <v>299.98</v>
      </c>
      <c r="G98" t="str">
        <f t="shared" si="20"/>
        <v xml:space="preserve"> </v>
      </c>
      <c r="H98" t="str">
        <f t="shared" si="21"/>
        <v/>
      </c>
      <c r="I98" t="str">
        <f t="shared" si="22"/>
        <v/>
      </c>
      <c r="K98">
        <f>Table1[[#This Row],[Quantity]]</f>
        <v>3</v>
      </c>
      <c r="L98" t="str">
        <f>Table1[[#This Row],[Category]]</f>
        <v>Appliances</v>
      </c>
      <c r="M98" t="str">
        <f>Table1[[#This Row],[Product_Name]]</f>
        <v>Blender</v>
      </c>
      <c r="N98" t="str">
        <f t="shared" si="19"/>
        <v>no</v>
      </c>
      <c r="O98" t="str">
        <f t="shared" si="17"/>
        <v>no</v>
      </c>
      <c r="P98" t="str">
        <f t="shared" si="18"/>
        <v>no</v>
      </c>
    </row>
    <row r="99" spans="1:16" x14ac:dyDescent="0.3">
      <c r="A99" s="8" t="s">
        <v>89</v>
      </c>
      <c r="B99" s="8" t="s">
        <v>48</v>
      </c>
      <c r="C99" s="15">
        <v>299.99</v>
      </c>
      <c r="D99" t="str">
        <f t="shared" si="14"/>
        <v xml:space="preserve"> </v>
      </c>
      <c r="E99" t="str">
        <f t="shared" si="15"/>
        <v xml:space="preserve"> </v>
      </c>
      <c r="F99">
        <f t="shared" si="16"/>
        <v>299.99</v>
      </c>
      <c r="G99" t="str">
        <f t="shared" si="20"/>
        <v xml:space="preserve"> </v>
      </c>
      <c r="H99" t="str">
        <f t="shared" si="21"/>
        <v/>
      </c>
      <c r="I99" t="str">
        <f t="shared" si="22"/>
        <v/>
      </c>
      <c r="K99">
        <f>Table1[[#This Row],[Quantity]]</f>
        <v>3</v>
      </c>
      <c r="L99" t="str">
        <f>Table1[[#This Row],[Category]]</f>
        <v>Appliances</v>
      </c>
      <c r="M99" t="str">
        <f>Table1[[#This Row],[Product_Name]]</f>
        <v>Blender</v>
      </c>
      <c r="N99" t="str">
        <f t="shared" si="19"/>
        <v>no</v>
      </c>
      <c r="O99" t="str">
        <f t="shared" si="17"/>
        <v>no</v>
      </c>
      <c r="P99" t="str">
        <f t="shared" si="18"/>
        <v>no</v>
      </c>
    </row>
    <row r="100" spans="1:16" x14ac:dyDescent="0.3">
      <c r="A100" s="7" t="s">
        <v>199</v>
      </c>
      <c r="B100" s="8" t="s">
        <v>48</v>
      </c>
      <c r="C100" s="15">
        <v>299.99</v>
      </c>
      <c r="D100" t="str">
        <f t="shared" si="14"/>
        <v xml:space="preserve"> </v>
      </c>
      <c r="E100" t="str">
        <f t="shared" si="15"/>
        <v xml:space="preserve"> </v>
      </c>
      <c r="F100">
        <f t="shared" si="16"/>
        <v>299.99</v>
      </c>
      <c r="G100" t="str">
        <f t="shared" si="20"/>
        <v xml:space="preserve"> </v>
      </c>
      <c r="H100" t="str">
        <f t="shared" si="21"/>
        <v/>
      </c>
      <c r="I100" t="str">
        <f t="shared" si="22"/>
        <v/>
      </c>
      <c r="K100">
        <f>Table1[[#This Row],[Quantity]]</f>
        <v>3</v>
      </c>
      <c r="L100" t="str">
        <f>Table1[[#This Row],[Category]]</f>
        <v>Appliances</v>
      </c>
      <c r="M100" t="str">
        <f>Table1[[#This Row],[Product_Name]]</f>
        <v>Blender</v>
      </c>
      <c r="N100" t="str">
        <f t="shared" si="19"/>
        <v>no</v>
      </c>
      <c r="O100" t="str">
        <f t="shared" si="17"/>
        <v>no</v>
      </c>
      <c r="P100" t="str">
        <f t="shared" si="18"/>
        <v>no</v>
      </c>
    </row>
    <row r="101" spans="1:16" x14ac:dyDescent="0.3">
      <c r="A101" s="8" t="s">
        <v>111</v>
      </c>
      <c r="B101" s="8" t="s">
        <v>48</v>
      </c>
      <c r="C101" s="15">
        <v>299.99</v>
      </c>
      <c r="D101" t="str">
        <f t="shared" si="14"/>
        <v xml:space="preserve"> </v>
      </c>
      <c r="E101" t="str">
        <f t="shared" si="15"/>
        <v xml:space="preserve"> </v>
      </c>
      <c r="F101">
        <f t="shared" si="16"/>
        <v>299.99</v>
      </c>
      <c r="G101" t="str">
        <f t="shared" si="20"/>
        <v xml:space="preserve"> </v>
      </c>
      <c r="H101" t="str">
        <f t="shared" si="21"/>
        <v/>
      </c>
      <c r="I101" t="str">
        <f t="shared" si="22"/>
        <v/>
      </c>
      <c r="K101">
        <f>Table1[[#This Row],[Quantity]]</f>
        <v>3</v>
      </c>
      <c r="L101" t="str">
        <f>Table1[[#This Row],[Category]]</f>
        <v>Appliances</v>
      </c>
      <c r="M101" t="str">
        <f>Table1[[#This Row],[Product_Name]]</f>
        <v>Blender</v>
      </c>
      <c r="N101" t="str">
        <f t="shared" si="19"/>
        <v>no</v>
      </c>
      <c r="O101" t="str">
        <f t="shared" si="17"/>
        <v>no</v>
      </c>
      <c r="P101" t="str">
        <f t="shared" si="18"/>
        <v>no</v>
      </c>
    </row>
    <row r="102" spans="1:16" x14ac:dyDescent="0.3">
      <c r="A102" s="7" t="s">
        <v>105</v>
      </c>
      <c r="B102" s="8" t="s">
        <v>35</v>
      </c>
      <c r="C102" s="15">
        <v>319.95999999999998</v>
      </c>
      <c r="D102" t="str">
        <f t="shared" si="14"/>
        <v xml:space="preserve"> </v>
      </c>
      <c r="E102">
        <f t="shared" si="15"/>
        <v>319.95999999999998</v>
      </c>
      <c r="F102" t="str">
        <f t="shared" si="16"/>
        <v/>
      </c>
      <c r="G102" t="str">
        <f t="shared" si="20"/>
        <v xml:space="preserve"> </v>
      </c>
      <c r="H102" t="str">
        <f t="shared" si="21"/>
        <v/>
      </c>
      <c r="I102" t="str">
        <f t="shared" si="22"/>
        <v/>
      </c>
      <c r="K102">
        <f>Table1[[#This Row],[Quantity]]</f>
        <v>3</v>
      </c>
      <c r="L102" t="str">
        <f>Table1[[#This Row],[Category]]</f>
        <v>Appliances</v>
      </c>
      <c r="M102" t="str">
        <f>Table1[[#This Row],[Product_Name]]</f>
        <v>Blender</v>
      </c>
      <c r="N102" t="str">
        <f t="shared" si="19"/>
        <v>no</v>
      </c>
      <c r="O102" t="str">
        <f t="shared" si="17"/>
        <v>no</v>
      </c>
      <c r="P102" t="str">
        <f t="shared" si="18"/>
        <v>no</v>
      </c>
    </row>
    <row r="103" spans="1:16" x14ac:dyDescent="0.3">
      <c r="A103" s="8" t="s">
        <v>229</v>
      </c>
      <c r="B103" s="7" t="s">
        <v>35</v>
      </c>
      <c r="C103" s="14">
        <v>319.95999999999998</v>
      </c>
      <c r="D103" t="str">
        <f t="shared" si="14"/>
        <v xml:space="preserve"> </v>
      </c>
      <c r="E103">
        <f t="shared" si="15"/>
        <v>319.95999999999998</v>
      </c>
      <c r="F103" t="str">
        <f t="shared" si="16"/>
        <v/>
      </c>
      <c r="G103" t="str">
        <f t="shared" si="20"/>
        <v xml:space="preserve"> </v>
      </c>
      <c r="H103" t="str">
        <f t="shared" si="21"/>
        <v/>
      </c>
      <c r="I103" t="str">
        <f t="shared" si="22"/>
        <v/>
      </c>
      <c r="K103">
        <f>Table1[[#This Row],[Quantity]]</f>
        <v>3</v>
      </c>
      <c r="L103" t="str">
        <f>Table1[[#This Row],[Category]]</f>
        <v>Appliances</v>
      </c>
      <c r="M103" t="str">
        <f>Table1[[#This Row],[Product_Name]]</f>
        <v>Coffee Maker</v>
      </c>
      <c r="N103" t="str">
        <f t="shared" si="19"/>
        <v>no</v>
      </c>
      <c r="O103" t="str">
        <f t="shared" si="17"/>
        <v>no</v>
      </c>
      <c r="P103" t="str">
        <f t="shared" si="18"/>
        <v>no</v>
      </c>
    </row>
    <row r="104" spans="1:16" x14ac:dyDescent="0.3">
      <c r="A104" s="7" t="s">
        <v>147</v>
      </c>
      <c r="B104" s="7" t="s">
        <v>35</v>
      </c>
      <c r="C104" s="14">
        <v>319.95999999999998</v>
      </c>
      <c r="D104" t="str">
        <f t="shared" si="14"/>
        <v xml:space="preserve"> </v>
      </c>
      <c r="E104">
        <f t="shared" si="15"/>
        <v>319.95999999999998</v>
      </c>
      <c r="F104" t="str">
        <f t="shared" si="16"/>
        <v/>
      </c>
      <c r="G104" t="str">
        <f t="shared" si="20"/>
        <v xml:space="preserve"> </v>
      </c>
      <c r="H104" t="str">
        <f t="shared" si="21"/>
        <v/>
      </c>
      <c r="I104" t="str">
        <f t="shared" si="22"/>
        <v/>
      </c>
      <c r="K104">
        <f>Table1[[#This Row],[Quantity]]</f>
        <v>3</v>
      </c>
      <c r="L104" t="str">
        <f>Table1[[#This Row],[Category]]</f>
        <v>Furniture</v>
      </c>
      <c r="M104" t="str">
        <f>Table1[[#This Row],[Product_Name]]</f>
        <v>Bookshelf</v>
      </c>
      <c r="N104" t="str">
        <f t="shared" si="19"/>
        <v>no</v>
      </c>
      <c r="O104" t="str">
        <f t="shared" si="17"/>
        <v>no</v>
      </c>
      <c r="P104" t="str">
        <f t="shared" si="18"/>
        <v>no</v>
      </c>
    </row>
    <row r="105" spans="1:16" x14ac:dyDescent="0.3">
      <c r="A105" s="8" t="s">
        <v>199</v>
      </c>
      <c r="B105" s="7" t="s">
        <v>21</v>
      </c>
      <c r="C105" s="14">
        <v>359.96</v>
      </c>
      <c r="D105">
        <f t="shared" si="14"/>
        <v>359.96</v>
      </c>
      <c r="E105" t="str">
        <f t="shared" si="15"/>
        <v xml:space="preserve"> </v>
      </c>
      <c r="F105" t="str">
        <f t="shared" si="16"/>
        <v/>
      </c>
      <c r="G105" t="str">
        <f t="shared" si="20"/>
        <v xml:space="preserve"> </v>
      </c>
      <c r="H105" t="str">
        <f t="shared" si="21"/>
        <v/>
      </c>
      <c r="I105" t="str">
        <f t="shared" si="22"/>
        <v/>
      </c>
      <c r="K105">
        <f>Table1[[#This Row],[Quantity]]</f>
        <v>3</v>
      </c>
      <c r="L105" t="str">
        <f>Table1[[#This Row],[Category]]</f>
        <v>Furniture</v>
      </c>
      <c r="M105" t="str">
        <f>Table1[[#This Row],[Product_Name]]</f>
        <v>Bookshelf</v>
      </c>
      <c r="N105" t="str">
        <f t="shared" si="19"/>
        <v>no</v>
      </c>
      <c r="O105" t="str">
        <f t="shared" si="17"/>
        <v>no</v>
      </c>
      <c r="P105" t="str">
        <f t="shared" si="18"/>
        <v>no</v>
      </c>
    </row>
    <row r="106" spans="1:16" x14ac:dyDescent="0.3">
      <c r="A106" s="7" t="s">
        <v>234</v>
      </c>
      <c r="B106" s="8" t="s">
        <v>35</v>
      </c>
      <c r="C106" s="15">
        <v>399.95</v>
      </c>
      <c r="D106" t="str">
        <f t="shared" si="14"/>
        <v xml:space="preserve"> </v>
      </c>
      <c r="E106">
        <f t="shared" si="15"/>
        <v>399.95</v>
      </c>
      <c r="F106" t="str">
        <f t="shared" si="16"/>
        <v/>
      </c>
      <c r="G106" t="str">
        <f t="shared" si="20"/>
        <v xml:space="preserve"> </v>
      </c>
      <c r="H106" t="str">
        <f t="shared" si="21"/>
        <v>Carol Evans</v>
      </c>
      <c r="I106" t="str">
        <f t="shared" si="22"/>
        <v/>
      </c>
      <c r="K106">
        <f>Table1[[#This Row],[Quantity]]</f>
        <v>3</v>
      </c>
      <c r="L106" t="str">
        <f>Table1[[#This Row],[Category]]</f>
        <v>Furniture</v>
      </c>
      <c r="M106" t="str">
        <f>Table1[[#This Row],[Product_Name]]</f>
        <v>Desk</v>
      </c>
      <c r="N106" t="str">
        <f t="shared" si="19"/>
        <v>no</v>
      </c>
      <c r="O106" t="str">
        <f t="shared" si="17"/>
        <v>no</v>
      </c>
      <c r="P106" t="str">
        <f t="shared" si="18"/>
        <v>no</v>
      </c>
    </row>
    <row r="107" spans="1:16" x14ac:dyDescent="0.3">
      <c r="A107" s="8" t="s">
        <v>237</v>
      </c>
      <c r="B107" s="7" t="s">
        <v>48</v>
      </c>
      <c r="C107" s="14">
        <v>399.98</v>
      </c>
      <c r="D107" t="str">
        <f t="shared" si="14"/>
        <v xml:space="preserve"> </v>
      </c>
      <c r="E107" t="str">
        <f t="shared" si="15"/>
        <v xml:space="preserve"> </v>
      </c>
      <c r="F107">
        <f t="shared" si="16"/>
        <v>399.98</v>
      </c>
      <c r="G107" t="str">
        <f t="shared" si="20"/>
        <v xml:space="preserve"> </v>
      </c>
      <c r="H107" t="str">
        <f t="shared" si="21"/>
        <v/>
      </c>
      <c r="I107" t="str">
        <f t="shared" si="22"/>
        <v/>
      </c>
      <c r="K107">
        <f>Table1[[#This Row],[Quantity]]</f>
        <v>3</v>
      </c>
      <c r="L107" t="str">
        <f>Table1[[#This Row],[Category]]</f>
        <v>Appliances</v>
      </c>
      <c r="M107" t="str">
        <f>Table1[[#This Row],[Product_Name]]</f>
        <v>Coffee Maker</v>
      </c>
      <c r="N107" t="str">
        <f t="shared" si="19"/>
        <v>no</v>
      </c>
      <c r="O107" t="str">
        <f t="shared" si="17"/>
        <v>no</v>
      </c>
      <c r="P107" t="str">
        <f t="shared" si="18"/>
        <v>no</v>
      </c>
    </row>
    <row r="108" spans="1:16" x14ac:dyDescent="0.3">
      <c r="A108" s="7" t="s">
        <v>234</v>
      </c>
      <c r="B108" s="7" t="s">
        <v>48</v>
      </c>
      <c r="C108" s="14">
        <v>399.98</v>
      </c>
      <c r="D108" t="str">
        <f t="shared" si="14"/>
        <v xml:space="preserve"> </v>
      </c>
      <c r="E108" t="str">
        <f t="shared" si="15"/>
        <v xml:space="preserve"> </v>
      </c>
      <c r="F108">
        <f t="shared" si="16"/>
        <v>399.98</v>
      </c>
      <c r="G108" t="str">
        <f t="shared" si="20"/>
        <v xml:space="preserve"> </v>
      </c>
      <c r="H108" t="str">
        <f t="shared" si="21"/>
        <v/>
      </c>
      <c r="I108" t="str">
        <f t="shared" si="22"/>
        <v/>
      </c>
      <c r="K108">
        <f>Table1[[#This Row],[Quantity]]</f>
        <v>3</v>
      </c>
      <c r="L108" t="str">
        <f>Table1[[#This Row],[Category]]</f>
        <v>Electronics</v>
      </c>
      <c r="M108" t="str">
        <f>Table1[[#This Row],[Product_Name]]</f>
        <v>Monitor</v>
      </c>
      <c r="N108" t="str">
        <f t="shared" si="19"/>
        <v>no</v>
      </c>
      <c r="O108" t="str">
        <f t="shared" si="17"/>
        <v>no</v>
      </c>
      <c r="P108" t="str">
        <f t="shared" si="18"/>
        <v>no</v>
      </c>
    </row>
    <row r="109" spans="1:16" x14ac:dyDescent="0.3">
      <c r="A109" s="8" t="s">
        <v>18</v>
      </c>
      <c r="B109" s="7" t="s">
        <v>21</v>
      </c>
      <c r="C109" s="14">
        <v>449.95</v>
      </c>
      <c r="D109">
        <f t="shared" si="14"/>
        <v>449.95</v>
      </c>
      <c r="E109" t="str">
        <f t="shared" si="15"/>
        <v xml:space="preserve"> </v>
      </c>
      <c r="F109" t="str">
        <f t="shared" si="16"/>
        <v/>
      </c>
      <c r="G109" t="str">
        <f t="shared" si="20"/>
        <v xml:space="preserve"> </v>
      </c>
      <c r="H109" t="str">
        <f t="shared" si="21"/>
        <v/>
      </c>
      <c r="I109" t="str">
        <f t="shared" si="22"/>
        <v/>
      </c>
      <c r="K109">
        <f>Table1[[#This Row],[Quantity]]</f>
        <v>3</v>
      </c>
      <c r="L109" t="str">
        <f>Table1[[#This Row],[Category]]</f>
        <v>Electronics</v>
      </c>
      <c r="M109" t="str">
        <f>Table1[[#This Row],[Product_Name]]</f>
        <v>Monitor</v>
      </c>
      <c r="N109" t="str">
        <f t="shared" si="19"/>
        <v>no</v>
      </c>
      <c r="O109" t="str">
        <f t="shared" si="17"/>
        <v>no</v>
      </c>
      <c r="P109" t="str">
        <f t="shared" si="18"/>
        <v>no</v>
      </c>
    </row>
    <row r="110" spans="1:16" x14ac:dyDescent="0.3">
      <c r="A110" s="7" t="s">
        <v>229</v>
      </c>
      <c r="B110" s="8" t="s">
        <v>21</v>
      </c>
      <c r="C110" s="15">
        <v>449.95</v>
      </c>
      <c r="D110">
        <f t="shared" si="14"/>
        <v>449.95</v>
      </c>
      <c r="E110" t="str">
        <f t="shared" si="15"/>
        <v xml:space="preserve"> </v>
      </c>
      <c r="F110" t="str">
        <f t="shared" si="16"/>
        <v/>
      </c>
      <c r="G110" t="str">
        <f t="shared" si="20"/>
        <v xml:space="preserve"> </v>
      </c>
      <c r="H110" t="str">
        <f t="shared" si="21"/>
        <v/>
      </c>
      <c r="I110" t="str">
        <f t="shared" si="22"/>
        <v/>
      </c>
      <c r="K110">
        <f>Table1[[#This Row],[Quantity]]</f>
        <v>3</v>
      </c>
      <c r="L110" t="str">
        <f>Table1[[#This Row],[Category]]</f>
        <v>Electronics</v>
      </c>
      <c r="M110" t="str">
        <f>Table1[[#This Row],[Product_Name]]</f>
        <v>Laptop</v>
      </c>
      <c r="N110" t="str">
        <f t="shared" si="19"/>
        <v>no</v>
      </c>
      <c r="O110" t="str">
        <f t="shared" si="17"/>
        <v>no</v>
      </c>
      <c r="P110" t="str">
        <f t="shared" si="18"/>
        <v>no</v>
      </c>
    </row>
    <row r="111" spans="1:16" x14ac:dyDescent="0.3">
      <c r="A111" s="8" t="s">
        <v>141</v>
      </c>
      <c r="B111" s="7" t="s">
        <v>21</v>
      </c>
      <c r="C111" s="14">
        <v>449.95</v>
      </c>
      <c r="D111">
        <f t="shared" si="14"/>
        <v>449.95</v>
      </c>
      <c r="E111" t="str">
        <f t="shared" si="15"/>
        <v xml:space="preserve"> </v>
      </c>
      <c r="F111" t="str">
        <f t="shared" si="16"/>
        <v/>
      </c>
      <c r="G111" t="str">
        <f t="shared" si="20"/>
        <v xml:space="preserve"> </v>
      </c>
      <c r="H111" t="str">
        <f t="shared" si="21"/>
        <v/>
      </c>
      <c r="I111" t="str">
        <f t="shared" si="22"/>
        <v/>
      </c>
      <c r="K111">
        <f>Table1[[#This Row],[Quantity]]</f>
        <v>3</v>
      </c>
      <c r="L111" t="str">
        <f>Table1[[#This Row],[Category]]</f>
        <v>Electronics</v>
      </c>
      <c r="M111" t="str">
        <f>Table1[[#This Row],[Product_Name]]</f>
        <v>Smartphone</v>
      </c>
      <c r="N111" t="str">
        <f t="shared" si="19"/>
        <v>no</v>
      </c>
      <c r="O111" t="str">
        <f t="shared" si="17"/>
        <v>no</v>
      </c>
      <c r="P111" t="str">
        <f t="shared" si="18"/>
        <v>no</v>
      </c>
    </row>
    <row r="112" spans="1:16" x14ac:dyDescent="0.3">
      <c r="A112" s="7" t="s">
        <v>135</v>
      </c>
      <c r="B112" s="7" t="s">
        <v>21</v>
      </c>
      <c r="C112" s="14">
        <v>449.95</v>
      </c>
      <c r="D112">
        <f t="shared" si="14"/>
        <v>449.95</v>
      </c>
      <c r="E112" t="str">
        <f t="shared" si="15"/>
        <v xml:space="preserve"> </v>
      </c>
      <c r="F112" t="str">
        <f t="shared" si="16"/>
        <v/>
      </c>
      <c r="G112" t="str">
        <f t="shared" si="20"/>
        <v xml:space="preserve"> </v>
      </c>
      <c r="H112" t="str">
        <f t="shared" si="21"/>
        <v/>
      </c>
      <c r="I112" t="str">
        <f t="shared" si="22"/>
        <v/>
      </c>
      <c r="K112">
        <f>Table1[[#This Row],[Quantity]]</f>
        <v>3</v>
      </c>
      <c r="L112" t="str">
        <f>Table1[[#This Row],[Category]]</f>
        <v>Electronics</v>
      </c>
      <c r="M112" t="str">
        <f>Table1[[#This Row],[Product_Name]]</f>
        <v>Monitor</v>
      </c>
      <c r="N112" t="str">
        <f t="shared" si="19"/>
        <v>no</v>
      </c>
      <c r="O112" t="str">
        <f t="shared" si="17"/>
        <v>no</v>
      </c>
      <c r="P112" t="str">
        <f t="shared" si="18"/>
        <v>no</v>
      </c>
    </row>
    <row r="113" spans="1:16" x14ac:dyDescent="0.3">
      <c r="A113" s="8" t="s">
        <v>144</v>
      </c>
      <c r="B113" s="7" t="s">
        <v>21</v>
      </c>
      <c r="C113" s="14">
        <v>449.95</v>
      </c>
      <c r="D113">
        <f t="shared" si="14"/>
        <v>449.95</v>
      </c>
      <c r="E113" t="str">
        <f t="shared" si="15"/>
        <v xml:space="preserve"> </v>
      </c>
      <c r="F113" t="str">
        <f t="shared" si="16"/>
        <v/>
      </c>
      <c r="G113" t="str">
        <f t="shared" si="20"/>
        <v xml:space="preserve"> </v>
      </c>
      <c r="H113" t="str">
        <f t="shared" si="21"/>
        <v/>
      </c>
      <c r="I113" t="str">
        <f t="shared" si="22"/>
        <v/>
      </c>
      <c r="K113">
        <f>Table1[[#This Row],[Quantity]]</f>
        <v>3</v>
      </c>
      <c r="L113" t="str">
        <f>Table1[[#This Row],[Category]]</f>
        <v>Electronics</v>
      </c>
      <c r="M113" t="str">
        <f>Table1[[#This Row],[Product_Name]]</f>
        <v>Keyboard</v>
      </c>
      <c r="N113" t="str">
        <f t="shared" si="19"/>
        <v>no</v>
      </c>
      <c r="O113" t="str">
        <f t="shared" si="17"/>
        <v>no</v>
      </c>
      <c r="P113" t="str">
        <f t="shared" si="18"/>
        <v>no</v>
      </c>
    </row>
    <row r="114" spans="1:16" x14ac:dyDescent="0.3">
      <c r="A114" s="7" t="s">
        <v>58</v>
      </c>
      <c r="B114" s="8" t="s">
        <v>21</v>
      </c>
      <c r="C114" s="15">
        <v>449.95</v>
      </c>
      <c r="D114">
        <f t="shared" si="14"/>
        <v>449.95</v>
      </c>
      <c r="E114" t="str">
        <f t="shared" si="15"/>
        <v xml:space="preserve"> </v>
      </c>
      <c r="F114" t="str">
        <f t="shared" si="16"/>
        <v/>
      </c>
      <c r="G114" t="str">
        <f t="shared" si="20"/>
        <v xml:space="preserve"> </v>
      </c>
      <c r="H114" t="str">
        <f t="shared" si="21"/>
        <v/>
      </c>
      <c r="I114" t="str">
        <f t="shared" si="22"/>
        <v/>
      </c>
      <c r="K114">
        <f>Table1[[#This Row],[Quantity]]</f>
        <v>3</v>
      </c>
      <c r="L114" t="str">
        <f>Table1[[#This Row],[Category]]</f>
        <v>Appliances</v>
      </c>
      <c r="M114" t="str">
        <f>Table1[[#This Row],[Product_Name]]</f>
        <v>Blender</v>
      </c>
      <c r="N114" t="str">
        <f t="shared" si="19"/>
        <v>no</v>
      </c>
      <c r="O114" t="str">
        <f t="shared" si="17"/>
        <v>no</v>
      </c>
      <c r="P114" t="str">
        <f t="shared" si="18"/>
        <v>no</v>
      </c>
    </row>
    <row r="115" spans="1:16" x14ac:dyDescent="0.3">
      <c r="A115" s="8" t="s">
        <v>51</v>
      </c>
      <c r="B115" s="8" t="s">
        <v>21</v>
      </c>
      <c r="C115" s="15">
        <v>449.95</v>
      </c>
      <c r="D115">
        <f t="shared" si="14"/>
        <v>449.95</v>
      </c>
      <c r="E115" t="str">
        <f t="shared" si="15"/>
        <v xml:space="preserve"> </v>
      </c>
      <c r="F115" t="str">
        <f t="shared" si="16"/>
        <v/>
      </c>
      <c r="G115" t="str">
        <f t="shared" si="20"/>
        <v xml:space="preserve"> </v>
      </c>
      <c r="H115" t="str">
        <f t="shared" si="21"/>
        <v/>
      </c>
      <c r="I115" t="str">
        <f t="shared" si="22"/>
        <v/>
      </c>
      <c r="K115">
        <f>Table1[[#This Row],[Quantity]]</f>
        <v>3</v>
      </c>
      <c r="L115" t="str">
        <f>Table1[[#This Row],[Category]]</f>
        <v>Appliances</v>
      </c>
      <c r="M115" t="str">
        <f>Table1[[#This Row],[Product_Name]]</f>
        <v>Coffee Maker</v>
      </c>
      <c r="N115" t="str">
        <f t="shared" si="19"/>
        <v>no</v>
      </c>
      <c r="O115" t="str">
        <f t="shared" si="17"/>
        <v>no</v>
      </c>
      <c r="P115" t="str">
        <f t="shared" si="18"/>
        <v>no</v>
      </c>
    </row>
    <row r="116" spans="1:16" x14ac:dyDescent="0.3">
      <c r="A116" s="7" t="s">
        <v>41</v>
      </c>
      <c r="B116" s="8" t="s">
        <v>21</v>
      </c>
      <c r="C116" s="15">
        <v>449.97</v>
      </c>
      <c r="D116">
        <f t="shared" si="14"/>
        <v>449.97</v>
      </c>
      <c r="E116" t="str">
        <f t="shared" si="15"/>
        <v xml:space="preserve"> </v>
      </c>
      <c r="F116" t="str">
        <f t="shared" si="16"/>
        <v/>
      </c>
      <c r="G116" t="str">
        <f t="shared" si="20"/>
        <v xml:space="preserve"> </v>
      </c>
      <c r="H116" t="str">
        <f t="shared" si="21"/>
        <v/>
      </c>
      <c r="I116" t="str">
        <f t="shared" si="22"/>
        <v/>
      </c>
      <c r="K116">
        <f>Table1[[#This Row],[Quantity]]</f>
        <v>3</v>
      </c>
      <c r="L116" t="str">
        <f>Table1[[#This Row],[Category]]</f>
        <v>Appliances</v>
      </c>
      <c r="M116" t="str">
        <f>Table1[[#This Row],[Product_Name]]</f>
        <v>Blender</v>
      </c>
      <c r="N116" t="str">
        <f t="shared" si="19"/>
        <v>no</v>
      </c>
      <c r="O116" t="str">
        <f t="shared" si="17"/>
        <v>no</v>
      </c>
      <c r="P116" t="str">
        <f t="shared" si="18"/>
        <v>no</v>
      </c>
    </row>
    <row r="117" spans="1:16" x14ac:dyDescent="0.3">
      <c r="A117" s="8" t="s">
        <v>249</v>
      </c>
      <c r="B117" s="7" t="s">
        <v>21</v>
      </c>
      <c r="C117" s="14">
        <v>449.97</v>
      </c>
      <c r="D117">
        <f t="shared" si="14"/>
        <v>449.97</v>
      </c>
      <c r="E117" t="str">
        <f t="shared" si="15"/>
        <v xml:space="preserve"> </v>
      </c>
      <c r="F117" t="str">
        <f t="shared" si="16"/>
        <v/>
      </c>
      <c r="G117" t="str">
        <f t="shared" si="20"/>
        <v xml:space="preserve"> </v>
      </c>
      <c r="H117" t="str">
        <f t="shared" si="21"/>
        <v/>
      </c>
      <c r="I117" t="str">
        <f t="shared" si="22"/>
        <v/>
      </c>
      <c r="K117">
        <f>Table1[[#This Row],[Quantity]]</f>
        <v>3</v>
      </c>
      <c r="L117" t="str">
        <f>Table1[[#This Row],[Category]]</f>
        <v>Appliances</v>
      </c>
      <c r="M117" t="str">
        <f>Table1[[#This Row],[Product_Name]]</f>
        <v>Blender</v>
      </c>
      <c r="N117" t="str">
        <f t="shared" si="19"/>
        <v>no</v>
      </c>
      <c r="O117" t="str">
        <f t="shared" si="17"/>
        <v>no</v>
      </c>
      <c r="P117" t="str">
        <f t="shared" si="18"/>
        <v>no</v>
      </c>
    </row>
    <row r="118" spans="1:16" x14ac:dyDescent="0.3">
      <c r="A118" s="7" t="s">
        <v>68</v>
      </c>
      <c r="B118" s="7" t="s">
        <v>21</v>
      </c>
      <c r="C118" s="14">
        <v>449.97</v>
      </c>
      <c r="D118">
        <f t="shared" si="14"/>
        <v>449.97</v>
      </c>
      <c r="E118" t="str">
        <f t="shared" si="15"/>
        <v xml:space="preserve"> </v>
      </c>
      <c r="F118" t="str">
        <f t="shared" si="16"/>
        <v/>
      </c>
      <c r="G118" t="str">
        <f t="shared" si="20"/>
        <v xml:space="preserve"> </v>
      </c>
      <c r="H118" t="str">
        <f t="shared" si="21"/>
        <v/>
      </c>
      <c r="I118" t="str">
        <f t="shared" si="22"/>
        <v/>
      </c>
      <c r="K118">
        <f>Table1[[#This Row],[Quantity]]</f>
        <v>3</v>
      </c>
      <c r="L118" t="str">
        <f>Table1[[#This Row],[Category]]</f>
        <v>Furniture</v>
      </c>
      <c r="M118" t="str">
        <f>Table1[[#This Row],[Product_Name]]</f>
        <v>Office Chair</v>
      </c>
      <c r="N118" t="str">
        <f t="shared" si="19"/>
        <v>no</v>
      </c>
      <c r="O118" t="str">
        <f t="shared" si="17"/>
        <v>no</v>
      </c>
      <c r="P118" t="str">
        <f t="shared" si="18"/>
        <v>no</v>
      </c>
    </row>
    <row r="119" spans="1:16" x14ac:dyDescent="0.3">
      <c r="A119" s="8" t="s">
        <v>157</v>
      </c>
      <c r="B119" s="8" t="s">
        <v>48</v>
      </c>
      <c r="C119" s="15">
        <v>449.97</v>
      </c>
      <c r="D119" t="str">
        <f t="shared" si="14"/>
        <v xml:space="preserve"> </v>
      </c>
      <c r="E119" t="str">
        <f t="shared" si="15"/>
        <v xml:space="preserve"> </v>
      </c>
      <c r="F119">
        <f t="shared" si="16"/>
        <v>449.97</v>
      </c>
      <c r="G119" t="str">
        <f t="shared" si="20"/>
        <v xml:space="preserve"> </v>
      </c>
      <c r="H119" t="str">
        <f t="shared" si="21"/>
        <v/>
      </c>
      <c r="I119" t="str">
        <f t="shared" si="22"/>
        <v/>
      </c>
      <c r="K119">
        <f>Table1[[#This Row],[Quantity]]</f>
        <v>3</v>
      </c>
      <c r="L119" t="str">
        <f>Table1[[#This Row],[Category]]</f>
        <v>Electronics</v>
      </c>
      <c r="M119" t="str">
        <f>Table1[[#This Row],[Product_Name]]</f>
        <v>Smartphone</v>
      </c>
      <c r="N119" t="str">
        <f t="shared" si="19"/>
        <v>no</v>
      </c>
      <c r="O119" t="str">
        <f t="shared" si="17"/>
        <v>no</v>
      </c>
      <c r="P119" t="str">
        <f t="shared" si="18"/>
        <v>no</v>
      </c>
    </row>
    <row r="120" spans="1:16" x14ac:dyDescent="0.3">
      <c r="A120" s="7" t="s">
        <v>150</v>
      </c>
      <c r="B120" s="8" t="s">
        <v>48</v>
      </c>
      <c r="C120" s="15">
        <v>449.97</v>
      </c>
      <c r="D120" t="str">
        <f t="shared" si="14"/>
        <v xml:space="preserve"> </v>
      </c>
      <c r="E120" t="str">
        <f t="shared" si="15"/>
        <v xml:space="preserve"> </v>
      </c>
      <c r="F120">
        <f t="shared" si="16"/>
        <v>449.97</v>
      </c>
      <c r="G120" t="str">
        <f t="shared" si="20"/>
        <v xml:space="preserve"> </v>
      </c>
      <c r="H120" t="str">
        <f t="shared" si="21"/>
        <v/>
      </c>
      <c r="I120" t="str">
        <f t="shared" si="22"/>
        <v/>
      </c>
      <c r="K120">
        <f>Table1[[#This Row],[Quantity]]</f>
        <v>3</v>
      </c>
      <c r="L120" t="str">
        <f>Table1[[#This Row],[Category]]</f>
        <v>Electronics</v>
      </c>
      <c r="M120" t="str">
        <f>Table1[[#This Row],[Product_Name]]</f>
        <v>Monitor</v>
      </c>
      <c r="N120" t="str">
        <f t="shared" si="19"/>
        <v>no</v>
      </c>
      <c r="O120" t="str">
        <f t="shared" si="17"/>
        <v>no</v>
      </c>
      <c r="P120" t="str">
        <f t="shared" si="18"/>
        <v>no</v>
      </c>
    </row>
    <row r="121" spans="1:16" x14ac:dyDescent="0.3">
      <c r="A121" s="8" t="s">
        <v>255</v>
      </c>
      <c r="B121" s="7" t="s">
        <v>48</v>
      </c>
      <c r="C121" s="14">
        <v>449.97</v>
      </c>
      <c r="D121" t="str">
        <f t="shared" si="14"/>
        <v xml:space="preserve"> </v>
      </c>
      <c r="E121" t="str">
        <f t="shared" si="15"/>
        <v xml:space="preserve"> </v>
      </c>
      <c r="F121">
        <f t="shared" si="16"/>
        <v>449.97</v>
      </c>
      <c r="G121" t="str">
        <f t="shared" si="20"/>
        <v xml:space="preserve"> </v>
      </c>
      <c r="H121" t="str">
        <f t="shared" si="21"/>
        <v/>
      </c>
      <c r="I121" t="str">
        <f t="shared" si="22"/>
        <v/>
      </c>
      <c r="K121">
        <f>Table1[[#This Row],[Quantity]]</f>
        <v>3</v>
      </c>
      <c r="L121" t="str">
        <f>Table1[[#This Row],[Category]]</f>
        <v>Electronics</v>
      </c>
      <c r="M121" t="str">
        <f>Table1[[#This Row],[Product_Name]]</f>
        <v>Headphones</v>
      </c>
      <c r="N121" t="str">
        <f t="shared" si="19"/>
        <v>no</v>
      </c>
      <c r="O121" t="str">
        <f t="shared" si="17"/>
        <v>no</v>
      </c>
      <c r="P121" t="str">
        <f t="shared" si="18"/>
        <v>no</v>
      </c>
    </row>
    <row r="122" spans="1:16" x14ac:dyDescent="0.3">
      <c r="A122" s="7" t="s">
        <v>75</v>
      </c>
      <c r="B122" s="7" t="s">
        <v>48</v>
      </c>
      <c r="C122" s="14">
        <v>449.97</v>
      </c>
      <c r="D122" t="str">
        <f t="shared" si="14"/>
        <v xml:space="preserve"> </v>
      </c>
      <c r="E122" t="str">
        <f t="shared" si="15"/>
        <v xml:space="preserve"> </v>
      </c>
      <c r="F122">
        <f t="shared" si="16"/>
        <v>449.97</v>
      </c>
      <c r="G122" t="str">
        <f t="shared" si="20"/>
        <v xml:space="preserve"> </v>
      </c>
      <c r="H122" t="str">
        <f t="shared" si="21"/>
        <v/>
      </c>
      <c r="I122" t="str">
        <f t="shared" si="22"/>
        <v/>
      </c>
      <c r="K122">
        <f>Table1[[#This Row],[Quantity]]</f>
        <v>3</v>
      </c>
      <c r="L122" t="str">
        <f>Table1[[#This Row],[Category]]</f>
        <v>Furniture</v>
      </c>
      <c r="M122" t="str">
        <f>Table1[[#This Row],[Product_Name]]</f>
        <v>Bookshelf</v>
      </c>
      <c r="N122" t="str">
        <f t="shared" si="19"/>
        <v>no</v>
      </c>
      <c r="O122" t="str">
        <f t="shared" si="17"/>
        <v>no</v>
      </c>
      <c r="P122" t="str">
        <f t="shared" si="18"/>
        <v>no</v>
      </c>
    </row>
    <row r="123" spans="1:16" x14ac:dyDescent="0.3">
      <c r="A123" s="8" t="s">
        <v>237</v>
      </c>
      <c r="B123" s="8" t="s">
        <v>48</v>
      </c>
      <c r="C123" s="15">
        <v>449.97</v>
      </c>
      <c r="D123" t="str">
        <f t="shared" si="14"/>
        <v xml:space="preserve"> </v>
      </c>
      <c r="E123" t="str">
        <f t="shared" si="15"/>
        <v xml:space="preserve"> </v>
      </c>
      <c r="F123">
        <f t="shared" si="16"/>
        <v>449.97</v>
      </c>
      <c r="G123" t="str">
        <f t="shared" si="20"/>
        <v xml:space="preserve"> </v>
      </c>
      <c r="H123" t="str">
        <f t="shared" si="21"/>
        <v/>
      </c>
      <c r="I123" t="str">
        <f t="shared" si="22"/>
        <v/>
      </c>
      <c r="K123">
        <f>Table1[[#This Row],[Quantity]]</f>
        <v>3</v>
      </c>
      <c r="L123" t="str">
        <f>Table1[[#This Row],[Category]]</f>
        <v>Electronics</v>
      </c>
      <c r="M123" t="str">
        <f>Table1[[#This Row],[Product_Name]]</f>
        <v>Headphones</v>
      </c>
      <c r="N123" t="str">
        <f t="shared" si="19"/>
        <v>no</v>
      </c>
      <c r="O123" t="str">
        <f t="shared" si="17"/>
        <v>no</v>
      </c>
      <c r="P123" t="str">
        <f t="shared" si="18"/>
        <v>no</v>
      </c>
    </row>
    <row r="124" spans="1:16" x14ac:dyDescent="0.3">
      <c r="A124" s="7" t="s">
        <v>115</v>
      </c>
      <c r="B124" s="7" t="s">
        <v>48</v>
      </c>
      <c r="C124" s="14">
        <v>449.97</v>
      </c>
      <c r="D124" t="str">
        <f t="shared" si="14"/>
        <v xml:space="preserve"> </v>
      </c>
      <c r="E124" t="str">
        <f t="shared" si="15"/>
        <v xml:space="preserve"> </v>
      </c>
      <c r="F124">
        <f t="shared" si="16"/>
        <v>449.97</v>
      </c>
      <c r="G124" t="str">
        <f t="shared" si="20"/>
        <v xml:space="preserve"> </v>
      </c>
      <c r="H124" t="str">
        <f t="shared" si="21"/>
        <v/>
      </c>
      <c r="I124" t="str">
        <f t="shared" si="22"/>
        <v/>
      </c>
      <c r="K124">
        <f>Table1[[#This Row],[Quantity]]</f>
        <v>3</v>
      </c>
      <c r="L124" t="str">
        <f>Table1[[#This Row],[Category]]</f>
        <v>Electronics</v>
      </c>
      <c r="M124" t="str">
        <f>Table1[[#This Row],[Product_Name]]</f>
        <v>Laptop</v>
      </c>
      <c r="N124" t="str">
        <f t="shared" si="19"/>
        <v>no</v>
      </c>
      <c r="O124" t="str">
        <f t="shared" si="17"/>
        <v>no</v>
      </c>
      <c r="P124" t="str">
        <f t="shared" si="18"/>
        <v>no</v>
      </c>
    </row>
    <row r="125" spans="1:16" x14ac:dyDescent="0.3">
      <c r="A125" s="8" t="s">
        <v>102</v>
      </c>
      <c r="B125" s="8" t="s">
        <v>48</v>
      </c>
      <c r="C125" s="15">
        <v>449.97</v>
      </c>
      <c r="D125" t="str">
        <f t="shared" si="14"/>
        <v xml:space="preserve"> </v>
      </c>
      <c r="E125" t="str">
        <f t="shared" si="15"/>
        <v xml:space="preserve"> </v>
      </c>
      <c r="F125">
        <f t="shared" si="16"/>
        <v>449.97</v>
      </c>
      <c r="G125" t="str">
        <f t="shared" si="20"/>
        <v xml:space="preserve"> </v>
      </c>
      <c r="H125" t="str">
        <f t="shared" si="21"/>
        <v/>
      </c>
      <c r="I125" t="str">
        <f t="shared" si="22"/>
        <v/>
      </c>
      <c r="K125">
        <f>Table1[[#This Row],[Quantity]]</f>
        <v>3</v>
      </c>
      <c r="L125" t="str">
        <f>Table1[[#This Row],[Category]]</f>
        <v>Electronics</v>
      </c>
      <c r="M125" t="str">
        <f>Table1[[#This Row],[Product_Name]]</f>
        <v>Laptop</v>
      </c>
      <c r="N125" t="str">
        <f t="shared" si="19"/>
        <v>no</v>
      </c>
      <c r="O125" t="str">
        <f t="shared" si="17"/>
        <v>no</v>
      </c>
      <c r="P125" t="str">
        <f t="shared" si="18"/>
        <v>no</v>
      </c>
    </row>
    <row r="126" spans="1:16" x14ac:dyDescent="0.3">
      <c r="A126" s="7" t="s">
        <v>262</v>
      </c>
      <c r="B126" s="7" t="s">
        <v>48</v>
      </c>
      <c r="C126" s="14">
        <v>449.97</v>
      </c>
      <c r="D126" t="str">
        <f t="shared" si="14"/>
        <v xml:space="preserve"> </v>
      </c>
      <c r="E126" t="str">
        <f t="shared" si="15"/>
        <v xml:space="preserve"> </v>
      </c>
      <c r="F126">
        <f t="shared" si="16"/>
        <v>449.97</v>
      </c>
      <c r="G126" t="str">
        <f t="shared" si="20"/>
        <v xml:space="preserve"> </v>
      </c>
      <c r="H126" t="str">
        <f t="shared" si="21"/>
        <v/>
      </c>
      <c r="I126" t="str">
        <f t="shared" si="22"/>
        <v/>
      </c>
      <c r="K126">
        <f>Table1[[#This Row],[Quantity]]</f>
        <v>3</v>
      </c>
      <c r="L126" t="str">
        <f>Table1[[#This Row],[Category]]</f>
        <v>Electronics</v>
      </c>
      <c r="M126" t="str">
        <f>Table1[[#This Row],[Product_Name]]</f>
        <v>Keyboard</v>
      </c>
      <c r="N126" t="str">
        <f t="shared" si="19"/>
        <v>no</v>
      </c>
      <c r="O126" t="str">
        <f t="shared" si="17"/>
        <v>no</v>
      </c>
      <c r="P126" t="str">
        <f t="shared" si="18"/>
        <v>no</v>
      </c>
    </row>
    <row r="127" spans="1:16" x14ac:dyDescent="0.3">
      <c r="A127" s="8" t="s">
        <v>45</v>
      </c>
      <c r="B127" s="7" t="s">
        <v>48</v>
      </c>
      <c r="C127" s="14">
        <v>449.97</v>
      </c>
      <c r="D127" t="str">
        <f t="shared" si="14"/>
        <v xml:space="preserve"> </v>
      </c>
      <c r="E127" t="str">
        <f t="shared" si="15"/>
        <v xml:space="preserve"> </v>
      </c>
      <c r="F127">
        <f t="shared" si="16"/>
        <v>449.97</v>
      </c>
      <c r="G127" t="str">
        <f t="shared" si="20"/>
        <v xml:space="preserve"> </v>
      </c>
      <c r="H127" t="str">
        <f t="shared" si="21"/>
        <v/>
      </c>
      <c r="I127" t="str">
        <f t="shared" si="22"/>
        <v/>
      </c>
      <c r="K127">
        <f>Table1[[#This Row],[Quantity]]</f>
        <v>3</v>
      </c>
      <c r="L127" t="str">
        <f>Table1[[#This Row],[Category]]</f>
        <v>Furniture</v>
      </c>
      <c r="M127" t="str">
        <f>Table1[[#This Row],[Product_Name]]</f>
        <v>Office Chair</v>
      </c>
      <c r="N127" t="str">
        <f t="shared" si="19"/>
        <v>no</v>
      </c>
      <c r="O127" t="str">
        <f t="shared" si="17"/>
        <v>no</v>
      </c>
      <c r="P127" t="str">
        <f t="shared" si="18"/>
        <v>no</v>
      </c>
    </row>
    <row r="128" spans="1:16" x14ac:dyDescent="0.3">
      <c r="A128" s="7" t="s">
        <v>92</v>
      </c>
      <c r="B128" s="7" t="s">
        <v>48</v>
      </c>
      <c r="C128" s="14">
        <v>449.97</v>
      </c>
      <c r="D128" t="str">
        <f t="shared" si="14"/>
        <v xml:space="preserve"> </v>
      </c>
      <c r="E128" t="str">
        <f t="shared" si="15"/>
        <v xml:space="preserve"> </v>
      </c>
      <c r="F128">
        <f t="shared" si="16"/>
        <v>449.97</v>
      </c>
      <c r="G128" t="str">
        <f t="shared" si="20"/>
        <v xml:space="preserve"> </v>
      </c>
      <c r="H128" t="str">
        <f t="shared" si="21"/>
        <v/>
      </c>
      <c r="I128" t="str">
        <f t="shared" si="22"/>
        <v/>
      </c>
      <c r="K128">
        <f>Table1[[#This Row],[Quantity]]</f>
        <v>3</v>
      </c>
      <c r="L128" t="str">
        <f>Table1[[#This Row],[Category]]</f>
        <v>Furniture</v>
      </c>
      <c r="M128" t="str">
        <f>Table1[[#This Row],[Product_Name]]</f>
        <v>Desk</v>
      </c>
      <c r="N128" t="str">
        <f t="shared" si="19"/>
        <v>no</v>
      </c>
      <c r="O128" t="str">
        <f t="shared" si="17"/>
        <v>no</v>
      </c>
      <c r="P128" t="str">
        <f t="shared" si="18"/>
        <v>no</v>
      </c>
    </row>
    <row r="129" spans="1:16" x14ac:dyDescent="0.3">
      <c r="A129" s="8" t="s">
        <v>237</v>
      </c>
      <c r="B129" s="7" t="s">
        <v>21</v>
      </c>
      <c r="C129" s="14">
        <v>499.98</v>
      </c>
      <c r="D129">
        <f t="shared" si="14"/>
        <v>499.98</v>
      </c>
      <c r="E129" t="str">
        <f t="shared" si="15"/>
        <v xml:space="preserve"> </v>
      </c>
      <c r="F129" t="str">
        <f t="shared" si="16"/>
        <v/>
      </c>
      <c r="G129" t="str">
        <f t="shared" si="20"/>
        <v xml:space="preserve"> </v>
      </c>
      <c r="H129" t="str">
        <f t="shared" si="21"/>
        <v/>
      </c>
      <c r="I129" t="str">
        <f t="shared" si="22"/>
        <v/>
      </c>
      <c r="K129">
        <f>Table1[[#This Row],[Quantity]]</f>
        <v>3</v>
      </c>
      <c r="L129" t="str">
        <f>Table1[[#This Row],[Category]]</f>
        <v>Furniture</v>
      </c>
      <c r="M129" t="str">
        <f>Table1[[#This Row],[Product_Name]]</f>
        <v>Desk</v>
      </c>
      <c r="N129" t="str">
        <f t="shared" si="19"/>
        <v>no</v>
      </c>
      <c r="O129" t="str">
        <f t="shared" si="17"/>
        <v>no</v>
      </c>
      <c r="P129" t="str">
        <f t="shared" si="18"/>
        <v>no</v>
      </c>
    </row>
    <row r="130" spans="1:16" x14ac:dyDescent="0.3">
      <c r="A130" s="7" t="s">
        <v>214</v>
      </c>
      <c r="B130" s="7" t="s">
        <v>21</v>
      </c>
      <c r="C130" s="14">
        <v>499.98</v>
      </c>
      <c r="D130">
        <f t="shared" si="14"/>
        <v>499.98</v>
      </c>
      <c r="E130" t="str">
        <f t="shared" si="15"/>
        <v xml:space="preserve"> </v>
      </c>
      <c r="F130" t="str">
        <f t="shared" si="16"/>
        <v/>
      </c>
      <c r="G130" t="str">
        <f t="shared" si="20"/>
        <v xml:space="preserve"> </v>
      </c>
      <c r="H130" t="str">
        <f t="shared" si="21"/>
        <v/>
      </c>
      <c r="I130" t="str">
        <f t="shared" si="22"/>
        <v/>
      </c>
      <c r="K130">
        <f>Table1[[#This Row],[Quantity]]</f>
        <v>3</v>
      </c>
      <c r="L130" t="str">
        <f>Table1[[#This Row],[Category]]</f>
        <v>Furniture</v>
      </c>
      <c r="M130" t="str">
        <f>Table1[[#This Row],[Product_Name]]</f>
        <v>Bookshelf</v>
      </c>
      <c r="N130" t="str">
        <f t="shared" si="19"/>
        <v>no</v>
      </c>
      <c r="O130" t="str">
        <f t="shared" si="17"/>
        <v>no</v>
      </c>
      <c r="P130" t="str">
        <f t="shared" si="18"/>
        <v>no</v>
      </c>
    </row>
    <row r="131" spans="1:16" x14ac:dyDescent="0.3">
      <c r="A131" s="8" t="s">
        <v>234</v>
      </c>
      <c r="B131" s="7" t="s">
        <v>21</v>
      </c>
      <c r="C131" s="14">
        <v>499.98</v>
      </c>
      <c r="D131">
        <f t="shared" si="14"/>
        <v>499.98</v>
      </c>
      <c r="E131" t="str">
        <f t="shared" si="15"/>
        <v xml:space="preserve"> </v>
      </c>
      <c r="F131" t="str">
        <f t="shared" si="16"/>
        <v/>
      </c>
      <c r="G131" t="str">
        <f t="shared" si="20"/>
        <v xml:space="preserve"> </v>
      </c>
      <c r="H131" t="str">
        <f t="shared" si="21"/>
        <v/>
      </c>
      <c r="I131" t="str">
        <f t="shared" si="22"/>
        <v/>
      </c>
      <c r="K131">
        <f>Table1[[#This Row],[Quantity]]</f>
        <v>3</v>
      </c>
      <c r="L131" t="str">
        <f>Table1[[#This Row],[Category]]</f>
        <v>Appliances</v>
      </c>
      <c r="M131" t="str">
        <f>Table1[[#This Row],[Product_Name]]</f>
        <v>Blender</v>
      </c>
      <c r="N131" t="str">
        <f t="shared" si="19"/>
        <v>no</v>
      </c>
      <c r="O131" t="str">
        <f t="shared" si="17"/>
        <v>no</v>
      </c>
      <c r="P131" t="str">
        <f t="shared" si="18"/>
        <v>no</v>
      </c>
    </row>
    <row r="132" spans="1:16" x14ac:dyDescent="0.3">
      <c r="A132" s="7" t="s">
        <v>150</v>
      </c>
      <c r="B132" s="7" t="s">
        <v>21</v>
      </c>
      <c r="C132" s="14">
        <v>499.98</v>
      </c>
      <c r="D132">
        <f t="shared" si="14"/>
        <v>499.98</v>
      </c>
      <c r="E132" t="str">
        <f t="shared" si="15"/>
        <v xml:space="preserve"> </v>
      </c>
      <c r="F132" t="str">
        <f t="shared" si="16"/>
        <v/>
      </c>
      <c r="G132" t="str">
        <f t="shared" si="20"/>
        <v xml:space="preserve"> </v>
      </c>
      <c r="H132" t="str">
        <f t="shared" si="21"/>
        <v/>
      </c>
      <c r="I132" t="str">
        <f t="shared" si="22"/>
        <v/>
      </c>
      <c r="K132">
        <f>Table1[[#This Row],[Quantity]]</f>
        <v>3</v>
      </c>
      <c r="L132" t="str">
        <f>Table1[[#This Row],[Category]]</f>
        <v>Electronics</v>
      </c>
      <c r="M132" t="str">
        <f>Table1[[#This Row],[Product_Name]]</f>
        <v>Keyboard</v>
      </c>
      <c r="N132" t="str">
        <f t="shared" si="19"/>
        <v>no</v>
      </c>
      <c r="O132" t="str">
        <f t="shared" si="17"/>
        <v>no</v>
      </c>
      <c r="P132" t="str">
        <f t="shared" si="18"/>
        <v>no</v>
      </c>
    </row>
    <row r="133" spans="1:16" x14ac:dyDescent="0.3">
      <c r="A133" s="8" t="s">
        <v>86</v>
      </c>
      <c r="B133" s="7" t="s">
        <v>21</v>
      </c>
      <c r="C133" s="14">
        <v>599.96</v>
      </c>
      <c r="D133">
        <f t="shared" si="14"/>
        <v>599.96</v>
      </c>
      <c r="E133" t="str">
        <f t="shared" si="15"/>
        <v xml:space="preserve"> </v>
      </c>
      <c r="F133" t="str">
        <f t="shared" si="16"/>
        <v/>
      </c>
      <c r="G133" t="str">
        <f t="shared" si="20"/>
        <v xml:space="preserve"> </v>
      </c>
      <c r="H133" t="str">
        <f t="shared" si="21"/>
        <v/>
      </c>
      <c r="I133" t="str">
        <f t="shared" si="22"/>
        <v/>
      </c>
      <c r="K133">
        <f>Table1[[#This Row],[Quantity]]</f>
        <v>3</v>
      </c>
      <c r="L133" t="str">
        <f>Table1[[#This Row],[Category]]</f>
        <v>Electronics</v>
      </c>
      <c r="M133" t="str">
        <f>Table1[[#This Row],[Product_Name]]</f>
        <v>Keyboard</v>
      </c>
      <c r="N133" t="str">
        <f t="shared" si="19"/>
        <v>no</v>
      </c>
      <c r="O133" t="str">
        <f t="shared" si="17"/>
        <v>no</v>
      </c>
      <c r="P133" t="str">
        <f t="shared" si="18"/>
        <v>no</v>
      </c>
    </row>
    <row r="134" spans="1:16" x14ac:dyDescent="0.3">
      <c r="A134" s="7" t="s">
        <v>99</v>
      </c>
      <c r="B134" s="8" t="s">
        <v>21</v>
      </c>
      <c r="C134" s="15">
        <v>599.96</v>
      </c>
      <c r="D134">
        <f t="shared" si="14"/>
        <v>599.96</v>
      </c>
      <c r="E134" t="str">
        <f t="shared" si="15"/>
        <v xml:space="preserve"> </v>
      </c>
      <c r="F134" t="str">
        <f t="shared" si="16"/>
        <v/>
      </c>
      <c r="G134" t="str">
        <f t="shared" si="20"/>
        <v xml:space="preserve"> </v>
      </c>
      <c r="H134" t="str">
        <f t="shared" si="21"/>
        <v/>
      </c>
      <c r="I134" t="str">
        <f t="shared" si="22"/>
        <v/>
      </c>
      <c r="K134">
        <f>Table1[[#This Row],[Quantity]]</f>
        <v>3</v>
      </c>
      <c r="L134" t="str">
        <f>Table1[[#This Row],[Category]]</f>
        <v>Furniture</v>
      </c>
      <c r="M134" t="str">
        <f>Table1[[#This Row],[Product_Name]]</f>
        <v>Bookshelf</v>
      </c>
      <c r="N134" t="str">
        <f t="shared" si="19"/>
        <v>no</v>
      </c>
      <c r="O134" t="str">
        <f t="shared" si="17"/>
        <v>no</v>
      </c>
      <c r="P134" t="str">
        <f t="shared" si="18"/>
        <v>no</v>
      </c>
    </row>
    <row r="135" spans="1:16" x14ac:dyDescent="0.3">
      <c r="A135" s="8" t="s">
        <v>174</v>
      </c>
      <c r="B135" s="8" t="s">
        <v>21</v>
      </c>
      <c r="C135" s="15">
        <v>599.96</v>
      </c>
      <c r="D135">
        <f t="shared" si="14"/>
        <v>599.96</v>
      </c>
      <c r="E135" t="str">
        <f t="shared" si="15"/>
        <v xml:space="preserve"> </v>
      </c>
      <c r="F135" t="str">
        <f t="shared" si="16"/>
        <v/>
      </c>
      <c r="G135" t="str">
        <f t="shared" si="20"/>
        <v xml:space="preserve"> </v>
      </c>
      <c r="H135" t="str">
        <f t="shared" si="21"/>
        <v/>
      </c>
      <c r="I135" t="str">
        <f t="shared" si="22"/>
        <v/>
      </c>
      <c r="K135">
        <f>Table1[[#This Row],[Quantity]]</f>
        <v>3</v>
      </c>
      <c r="L135" t="str">
        <f>Table1[[#This Row],[Category]]</f>
        <v>Furniture</v>
      </c>
      <c r="M135" t="str">
        <f>Table1[[#This Row],[Product_Name]]</f>
        <v>Desk</v>
      </c>
      <c r="N135" t="str">
        <f t="shared" si="19"/>
        <v>no</v>
      </c>
      <c r="O135" t="str">
        <f t="shared" si="17"/>
        <v>no</v>
      </c>
      <c r="P135" t="str">
        <f t="shared" si="18"/>
        <v>no</v>
      </c>
    </row>
    <row r="136" spans="1:16" x14ac:dyDescent="0.3">
      <c r="A136" s="7" t="s">
        <v>153</v>
      </c>
      <c r="B136" s="7" t="s">
        <v>21</v>
      </c>
      <c r="C136" s="14">
        <v>599.96</v>
      </c>
      <c r="D136">
        <f t="shared" ref="D136:D199" si="23">IF(B136=$A$3,C136,$G$7)</f>
        <v>599.96</v>
      </c>
      <c r="E136" t="str">
        <f t="shared" ref="E136:E199" si="24">IF(B136=$A$4,C136,$G$7)</f>
        <v xml:space="preserve"> </v>
      </c>
      <c r="F136" t="str">
        <f t="shared" ref="F136:F199" si="25">IF(B136=$A$5,C136,$H$7)</f>
        <v/>
      </c>
      <c r="G136" t="str">
        <f t="shared" si="20"/>
        <v xml:space="preserve"> </v>
      </c>
      <c r="H136" t="str">
        <f t="shared" si="21"/>
        <v/>
      </c>
      <c r="I136" t="str">
        <f t="shared" si="22"/>
        <v/>
      </c>
      <c r="K136">
        <f>Table1[[#This Row],[Quantity]]</f>
        <v>3</v>
      </c>
      <c r="L136" t="str">
        <f>Table1[[#This Row],[Category]]</f>
        <v>Electronics</v>
      </c>
      <c r="M136" t="str">
        <f>Table1[[#This Row],[Product_Name]]</f>
        <v>Headphones</v>
      </c>
      <c r="N136" t="str">
        <f t="shared" si="19"/>
        <v>no</v>
      </c>
      <c r="O136" t="str">
        <f t="shared" si="17"/>
        <v>no</v>
      </c>
      <c r="P136" t="str">
        <f t="shared" si="18"/>
        <v>no</v>
      </c>
    </row>
    <row r="137" spans="1:16" x14ac:dyDescent="0.3">
      <c r="A137" s="8" t="s">
        <v>229</v>
      </c>
      <c r="B137" s="8" t="s">
        <v>48</v>
      </c>
      <c r="C137" s="15">
        <v>599.96</v>
      </c>
      <c r="D137" t="str">
        <f t="shared" si="23"/>
        <v xml:space="preserve"> </v>
      </c>
      <c r="E137" t="str">
        <f t="shared" si="24"/>
        <v xml:space="preserve"> </v>
      </c>
      <c r="F137">
        <f t="shared" si="25"/>
        <v>599.96</v>
      </c>
      <c r="G137" t="str">
        <f t="shared" si="20"/>
        <v xml:space="preserve"> </v>
      </c>
      <c r="H137" t="str">
        <f t="shared" si="21"/>
        <v/>
      </c>
      <c r="I137" t="str">
        <f t="shared" si="22"/>
        <v/>
      </c>
      <c r="K137">
        <f>Table1[[#This Row],[Quantity]]</f>
        <v>3</v>
      </c>
      <c r="L137" t="str">
        <f>Table1[[#This Row],[Category]]</f>
        <v>Electronics</v>
      </c>
      <c r="M137" t="str">
        <f>Table1[[#This Row],[Product_Name]]</f>
        <v>Smartphone</v>
      </c>
      <c r="N137" t="str">
        <f t="shared" si="19"/>
        <v>no</v>
      </c>
      <c r="O137" t="str">
        <f t="shared" ref="O137:O200" si="26">IF(AND(K137=M132,L137=$O$8),M137,"no")</f>
        <v>no</v>
      </c>
      <c r="P137" t="str">
        <f t="shared" ref="P137:P200" si="27">IF(AND(K137=$M$5,L137=$P$8),M137,"no")</f>
        <v>no</v>
      </c>
    </row>
    <row r="138" spans="1:16" x14ac:dyDescent="0.3">
      <c r="A138" s="7" t="s">
        <v>229</v>
      </c>
      <c r="B138" s="7" t="s">
        <v>48</v>
      </c>
      <c r="C138" s="14">
        <v>599.96</v>
      </c>
      <c r="D138" t="str">
        <f t="shared" si="23"/>
        <v xml:space="preserve"> </v>
      </c>
      <c r="E138" t="str">
        <f t="shared" si="24"/>
        <v xml:space="preserve"> </v>
      </c>
      <c r="F138">
        <f t="shared" si="25"/>
        <v>599.96</v>
      </c>
      <c r="G138" t="str">
        <f t="shared" si="20"/>
        <v xml:space="preserve"> </v>
      </c>
      <c r="H138" t="str">
        <f t="shared" si="21"/>
        <v/>
      </c>
      <c r="I138" t="str">
        <f t="shared" si="22"/>
        <v/>
      </c>
      <c r="K138">
        <f>Table1[[#This Row],[Quantity]]</f>
        <v>3</v>
      </c>
      <c r="L138" t="str">
        <f>Table1[[#This Row],[Category]]</f>
        <v>Electronics</v>
      </c>
      <c r="M138" t="str">
        <f>Table1[[#This Row],[Product_Name]]</f>
        <v>Smartphone</v>
      </c>
      <c r="N138" t="str">
        <f t="shared" ref="N138:N201" si="28">IF(AND(K138=$M$3,L138=$L$3),M138,"no")</f>
        <v>no</v>
      </c>
      <c r="O138" t="str">
        <f t="shared" si="26"/>
        <v>no</v>
      </c>
      <c r="P138" t="str">
        <f t="shared" si="27"/>
        <v>no</v>
      </c>
    </row>
    <row r="139" spans="1:16" x14ac:dyDescent="0.3">
      <c r="A139" s="8" t="s">
        <v>41</v>
      </c>
      <c r="B139" s="7" t="s">
        <v>48</v>
      </c>
      <c r="C139" s="14">
        <v>599.96</v>
      </c>
      <c r="D139" t="str">
        <f t="shared" si="23"/>
        <v xml:space="preserve"> </v>
      </c>
      <c r="E139" t="str">
        <f t="shared" si="24"/>
        <v xml:space="preserve"> </v>
      </c>
      <c r="F139">
        <f t="shared" si="25"/>
        <v>599.96</v>
      </c>
      <c r="G139" t="str">
        <f t="shared" si="20"/>
        <v xml:space="preserve"> </v>
      </c>
      <c r="H139" t="str">
        <f t="shared" si="21"/>
        <v/>
      </c>
      <c r="I139" t="str">
        <f t="shared" si="22"/>
        <v/>
      </c>
      <c r="K139">
        <f>Table1[[#This Row],[Quantity]]</f>
        <v>3</v>
      </c>
      <c r="L139" t="str">
        <f>Table1[[#This Row],[Category]]</f>
        <v>Electronics</v>
      </c>
      <c r="M139" t="str">
        <f>Table1[[#This Row],[Product_Name]]</f>
        <v>Smartphone</v>
      </c>
      <c r="N139" t="str">
        <f t="shared" si="28"/>
        <v>no</v>
      </c>
      <c r="O139" t="str">
        <f t="shared" si="26"/>
        <v>no</v>
      </c>
      <c r="P139" t="str">
        <f t="shared" si="27"/>
        <v>no</v>
      </c>
    </row>
    <row r="140" spans="1:16" x14ac:dyDescent="0.3">
      <c r="A140" s="7" t="s">
        <v>157</v>
      </c>
      <c r="B140" s="8" t="s">
        <v>48</v>
      </c>
      <c r="C140" s="15">
        <v>599.96</v>
      </c>
      <c r="D140" t="str">
        <f t="shared" si="23"/>
        <v xml:space="preserve"> </v>
      </c>
      <c r="E140" t="str">
        <f t="shared" si="24"/>
        <v xml:space="preserve"> </v>
      </c>
      <c r="F140">
        <f t="shared" si="25"/>
        <v>599.96</v>
      </c>
      <c r="G140" t="str">
        <f t="shared" si="20"/>
        <v xml:space="preserve"> </v>
      </c>
      <c r="H140" t="str">
        <f t="shared" si="21"/>
        <v/>
      </c>
      <c r="I140" t="str">
        <f t="shared" si="22"/>
        <v/>
      </c>
      <c r="K140">
        <f>Table1[[#This Row],[Quantity]]</f>
        <v>3</v>
      </c>
      <c r="L140" t="str">
        <f>Table1[[#This Row],[Category]]</f>
        <v>Electronics</v>
      </c>
      <c r="M140" t="str">
        <f>Table1[[#This Row],[Product_Name]]</f>
        <v>Keyboard</v>
      </c>
      <c r="N140" t="str">
        <f t="shared" si="28"/>
        <v>no</v>
      </c>
      <c r="O140" t="str">
        <f t="shared" si="26"/>
        <v>no</v>
      </c>
      <c r="P140" t="str">
        <f t="shared" si="27"/>
        <v>no</v>
      </c>
    </row>
    <row r="141" spans="1:16" x14ac:dyDescent="0.3">
      <c r="A141" s="8" t="s">
        <v>161</v>
      </c>
      <c r="B141" s="8" t="s">
        <v>48</v>
      </c>
      <c r="C141" s="15">
        <v>599.97</v>
      </c>
      <c r="D141" t="str">
        <f t="shared" si="23"/>
        <v xml:space="preserve"> </v>
      </c>
      <c r="E141" t="str">
        <f t="shared" si="24"/>
        <v xml:space="preserve"> </v>
      </c>
      <c r="F141">
        <f t="shared" si="25"/>
        <v>599.97</v>
      </c>
      <c r="G141" t="str">
        <f t="shared" si="20"/>
        <v xml:space="preserve"> </v>
      </c>
      <c r="H141" t="str">
        <f t="shared" si="21"/>
        <v/>
      </c>
      <c r="I141" t="str">
        <f t="shared" si="22"/>
        <v/>
      </c>
      <c r="K141">
        <f>Table1[[#This Row],[Quantity]]</f>
        <v>3</v>
      </c>
      <c r="L141" t="str">
        <f>Table1[[#This Row],[Category]]</f>
        <v>Electronics</v>
      </c>
      <c r="M141" t="str">
        <f>Table1[[#This Row],[Product_Name]]</f>
        <v>Laptop</v>
      </c>
      <c r="N141" t="str">
        <f t="shared" si="28"/>
        <v>no</v>
      </c>
      <c r="O141" t="str">
        <f t="shared" si="26"/>
        <v>no</v>
      </c>
      <c r="P141" t="str">
        <f t="shared" si="27"/>
        <v>no</v>
      </c>
    </row>
    <row r="142" spans="1:16" x14ac:dyDescent="0.3">
      <c r="A142" s="7" t="s">
        <v>174</v>
      </c>
      <c r="B142" s="8" t="s">
        <v>48</v>
      </c>
      <c r="C142" s="15">
        <v>599.97</v>
      </c>
      <c r="D142" t="str">
        <f t="shared" si="23"/>
        <v xml:space="preserve"> </v>
      </c>
      <c r="E142" t="str">
        <f t="shared" si="24"/>
        <v xml:space="preserve"> </v>
      </c>
      <c r="F142">
        <f t="shared" si="25"/>
        <v>599.97</v>
      </c>
      <c r="G142" t="str">
        <f t="shared" si="20"/>
        <v xml:space="preserve"> </v>
      </c>
      <c r="H142" t="str">
        <f t="shared" si="21"/>
        <v/>
      </c>
      <c r="I142" t="str">
        <f t="shared" si="22"/>
        <v/>
      </c>
      <c r="K142">
        <f>Table1[[#This Row],[Quantity]]</f>
        <v>3</v>
      </c>
      <c r="L142" t="str">
        <f>Table1[[#This Row],[Category]]</f>
        <v>Electronics</v>
      </c>
      <c r="M142" t="str">
        <f>Table1[[#This Row],[Product_Name]]</f>
        <v>Laptop</v>
      </c>
      <c r="N142" t="str">
        <f t="shared" si="28"/>
        <v>no</v>
      </c>
      <c r="O142" t="str">
        <f t="shared" si="26"/>
        <v>no</v>
      </c>
      <c r="P142" t="str">
        <f t="shared" si="27"/>
        <v>no</v>
      </c>
    </row>
    <row r="143" spans="1:16" x14ac:dyDescent="0.3">
      <c r="A143" s="8" t="s">
        <v>18</v>
      </c>
      <c r="B143" s="7" t="s">
        <v>48</v>
      </c>
      <c r="C143" s="14">
        <v>599.97</v>
      </c>
      <c r="D143" t="str">
        <f t="shared" si="23"/>
        <v xml:space="preserve"> </v>
      </c>
      <c r="E143" t="str">
        <f t="shared" si="24"/>
        <v xml:space="preserve"> </v>
      </c>
      <c r="F143">
        <f t="shared" si="25"/>
        <v>599.97</v>
      </c>
      <c r="G143" t="str">
        <f t="shared" si="20"/>
        <v xml:space="preserve"> </v>
      </c>
      <c r="H143" t="str">
        <f t="shared" si="21"/>
        <v/>
      </c>
      <c r="I143" t="str">
        <f t="shared" si="22"/>
        <v/>
      </c>
      <c r="K143">
        <f>Table1[[#This Row],[Quantity]]</f>
        <v>3</v>
      </c>
      <c r="L143" t="str">
        <f>Table1[[#This Row],[Category]]</f>
        <v>Electronics</v>
      </c>
      <c r="M143" t="str">
        <f>Table1[[#This Row],[Product_Name]]</f>
        <v>Laptop</v>
      </c>
      <c r="N143" t="str">
        <f t="shared" si="28"/>
        <v>no</v>
      </c>
      <c r="O143" t="str">
        <f t="shared" si="26"/>
        <v>no</v>
      </c>
      <c r="P143" t="str">
        <f t="shared" si="27"/>
        <v>no</v>
      </c>
    </row>
    <row r="144" spans="1:16" x14ac:dyDescent="0.3">
      <c r="A144" s="7" t="s">
        <v>68</v>
      </c>
      <c r="B144" s="7" t="s">
        <v>48</v>
      </c>
      <c r="C144" s="14">
        <v>599.97</v>
      </c>
      <c r="D144" t="str">
        <f t="shared" si="23"/>
        <v xml:space="preserve"> </v>
      </c>
      <c r="E144" t="str">
        <f t="shared" si="24"/>
        <v xml:space="preserve"> </v>
      </c>
      <c r="F144">
        <f t="shared" si="25"/>
        <v>599.97</v>
      </c>
      <c r="G144" t="str">
        <f t="shared" si="20"/>
        <v xml:space="preserve"> </v>
      </c>
      <c r="H144" t="str">
        <f t="shared" si="21"/>
        <v/>
      </c>
      <c r="I144" t="str">
        <f t="shared" si="22"/>
        <v/>
      </c>
      <c r="K144">
        <f>Table1[[#This Row],[Quantity]]</f>
        <v>3</v>
      </c>
      <c r="L144" t="str">
        <f>Table1[[#This Row],[Category]]</f>
        <v>Electronics</v>
      </c>
      <c r="M144" t="str">
        <f>Table1[[#This Row],[Product_Name]]</f>
        <v>Laptop</v>
      </c>
      <c r="N144" t="str">
        <f t="shared" si="28"/>
        <v>no</v>
      </c>
      <c r="O144" t="str">
        <f t="shared" si="26"/>
        <v>no</v>
      </c>
      <c r="P144" t="str">
        <f t="shared" si="27"/>
        <v>no</v>
      </c>
    </row>
    <row r="145" spans="1:16" x14ac:dyDescent="0.3">
      <c r="A145" s="8" t="s">
        <v>102</v>
      </c>
      <c r="B145" s="8" t="s">
        <v>48</v>
      </c>
      <c r="C145" s="15">
        <v>599.98</v>
      </c>
      <c r="D145" t="str">
        <f t="shared" si="23"/>
        <v xml:space="preserve"> </v>
      </c>
      <c r="E145" t="str">
        <f t="shared" si="24"/>
        <v xml:space="preserve"> </v>
      </c>
      <c r="F145">
        <f t="shared" si="25"/>
        <v>599.98</v>
      </c>
      <c r="G145" t="str">
        <f t="shared" si="20"/>
        <v xml:space="preserve"> </v>
      </c>
      <c r="H145" t="str">
        <f t="shared" si="21"/>
        <v/>
      </c>
      <c r="I145" t="str">
        <f t="shared" si="22"/>
        <v/>
      </c>
      <c r="K145">
        <f>Table1[[#This Row],[Quantity]]</f>
        <v>3</v>
      </c>
      <c r="L145" t="str">
        <f>Table1[[#This Row],[Category]]</f>
        <v>Electronics</v>
      </c>
      <c r="M145" t="str">
        <f>Table1[[#This Row],[Product_Name]]</f>
        <v>Smartphone</v>
      </c>
      <c r="N145" t="str">
        <f t="shared" si="28"/>
        <v>no</v>
      </c>
      <c r="O145" t="str">
        <f t="shared" si="26"/>
        <v>no</v>
      </c>
      <c r="P145" t="str">
        <f t="shared" si="27"/>
        <v>no</v>
      </c>
    </row>
    <row r="146" spans="1:16" x14ac:dyDescent="0.3">
      <c r="A146" s="7" t="s">
        <v>92</v>
      </c>
      <c r="B146" s="8" t="s">
        <v>48</v>
      </c>
      <c r="C146" s="15">
        <v>599.98</v>
      </c>
      <c r="D146" t="str">
        <f t="shared" si="23"/>
        <v xml:space="preserve"> </v>
      </c>
      <c r="E146" t="str">
        <f t="shared" si="24"/>
        <v xml:space="preserve"> </v>
      </c>
      <c r="F146">
        <f t="shared" si="25"/>
        <v>599.98</v>
      </c>
      <c r="G146" t="str">
        <f t="shared" si="20"/>
        <v xml:space="preserve"> </v>
      </c>
      <c r="H146" t="str">
        <f t="shared" si="21"/>
        <v/>
      </c>
      <c r="I146" t="str">
        <f t="shared" si="22"/>
        <v/>
      </c>
      <c r="K146">
        <f>Table1[[#This Row],[Quantity]]</f>
        <v>3</v>
      </c>
      <c r="L146" t="str">
        <f>Table1[[#This Row],[Category]]</f>
        <v>Electronics</v>
      </c>
      <c r="M146" t="str">
        <f>Table1[[#This Row],[Product_Name]]</f>
        <v>Keyboard</v>
      </c>
      <c r="N146" t="str">
        <f t="shared" si="28"/>
        <v>no</v>
      </c>
      <c r="O146" t="str">
        <f t="shared" si="26"/>
        <v>no</v>
      </c>
      <c r="P146" t="str">
        <f t="shared" si="27"/>
        <v>no</v>
      </c>
    </row>
    <row r="147" spans="1:16" x14ac:dyDescent="0.3">
      <c r="A147" s="8" t="s">
        <v>188</v>
      </c>
      <c r="B147" s="7" t="s">
        <v>48</v>
      </c>
      <c r="C147" s="14">
        <v>599.98</v>
      </c>
      <c r="D147" t="str">
        <f t="shared" si="23"/>
        <v xml:space="preserve"> </v>
      </c>
      <c r="E147" t="str">
        <f t="shared" si="24"/>
        <v xml:space="preserve"> </v>
      </c>
      <c r="F147">
        <f t="shared" si="25"/>
        <v>599.98</v>
      </c>
      <c r="G147" t="str">
        <f t="shared" si="20"/>
        <v xml:space="preserve"> </v>
      </c>
      <c r="H147" t="str">
        <f t="shared" si="21"/>
        <v/>
      </c>
      <c r="I147" t="str">
        <f t="shared" si="22"/>
        <v/>
      </c>
      <c r="K147">
        <f>Table1[[#This Row],[Quantity]]</f>
        <v>3</v>
      </c>
      <c r="L147" t="str">
        <f>Table1[[#This Row],[Category]]</f>
        <v>Furniture</v>
      </c>
      <c r="M147" t="str">
        <f>Table1[[#This Row],[Product_Name]]</f>
        <v>Desk</v>
      </c>
      <c r="N147" t="str">
        <f t="shared" si="28"/>
        <v>no</v>
      </c>
      <c r="O147" t="str">
        <f t="shared" si="26"/>
        <v>no</v>
      </c>
      <c r="P147" t="str">
        <f t="shared" si="27"/>
        <v>no</v>
      </c>
    </row>
    <row r="148" spans="1:16" x14ac:dyDescent="0.3">
      <c r="A148" s="7" t="s">
        <v>75</v>
      </c>
      <c r="B148" s="8" t="s">
        <v>48</v>
      </c>
      <c r="C148" s="15">
        <v>599.98</v>
      </c>
      <c r="D148" t="str">
        <f t="shared" si="23"/>
        <v xml:space="preserve"> </v>
      </c>
      <c r="E148" t="str">
        <f t="shared" si="24"/>
        <v xml:space="preserve"> </v>
      </c>
      <c r="F148">
        <f t="shared" si="25"/>
        <v>599.98</v>
      </c>
      <c r="G148" t="str">
        <f t="shared" ref="G148:G211" si="29">IF(C148=4499.95,A148," ")</f>
        <v xml:space="preserve"> </v>
      </c>
      <c r="H148" t="str">
        <f t="shared" ref="H148:H211" si="30">IF(C148=$B$4,A148,"")</f>
        <v/>
      </c>
      <c r="I148" t="str">
        <f t="shared" ref="I148:I211" si="31">IF(C148=$B$5,A148,"")</f>
        <v/>
      </c>
      <c r="K148">
        <f>Table1[[#This Row],[Quantity]]</f>
        <v>3</v>
      </c>
      <c r="L148" t="str">
        <f>Table1[[#This Row],[Category]]</f>
        <v>Furniture</v>
      </c>
      <c r="M148" t="str">
        <f>Table1[[#This Row],[Product_Name]]</f>
        <v>Desk</v>
      </c>
      <c r="N148" t="str">
        <f t="shared" si="28"/>
        <v>no</v>
      </c>
      <c r="O148" t="str">
        <f t="shared" si="26"/>
        <v>no</v>
      </c>
      <c r="P148" t="str">
        <f t="shared" si="27"/>
        <v>no</v>
      </c>
    </row>
    <row r="149" spans="1:16" x14ac:dyDescent="0.3">
      <c r="A149" s="8" t="s">
        <v>18</v>
      </c>
      <c r="B149" s="7" t="s">
        <v>48</v>
      </c>
      <c r="C149" s="14">
        <v>599.98</v>
      </c>
      <c r="D149" t="str">
        <f t="shared" si="23"/>
        <v xml:space="preserve"> </v>
      </c>
      <c r="E149" t="str">
        <f t="shared" si="24"/>
        <v xml:space="preserve"> </v>
      </c>
      <c r="F149">
        <f t="shared" si="25"/>
        <v>599.98</v>
      </c>
      <c r="G149" t="str">
        <f t="shared" si="29"/>
        <v xml:space="preserve"> </v>
      </c>
      <c r="H149" t="str">
        <f t="shared" si="30"/>
        <v/>
      </c>
      <c r="I149" t="str">
        <f t="shared" si="31"/>
        <v/>
      </c>
      <c r="K149">
        <f>Table1[[#This Row],[Quantity]]</f>
        <v>3</v>
      </c>
      <c r="L149" t="str">
        <f>Table1[[#This Row],[Category]]</f>
        <v>Appliances</v>
      </c>
      <c r="M149" t="str">
        <f>Table1[[#This Row],[Product_Name]]</f>
        <v>Blender</v>
      </c>
      <c r="N149" t="str">
        <f t="shared" si="28"/>
        <v>no</v>
      </c>
      <c r="O149" t="str">
        <f t="shared" si="26"/>
        <v>no</v>
      </c>
      <c r="P149" t="str">
        <f t="shared" si="27"/>
        <v>no</v>
      </c>
    </row>
    <row r="150" spans="1:16" x14ac:dyDescent="0.3">
      <c r="A150" s="7" t="s">
        <v>102</v>
      </c>
      <c r="B150" s="7" t="s">
        <v>48</v>
      </c>
      <c r="C150" s="14">
        <v>599.98</v>
      </c>
      <c r="D150" t="str">
        <f t="shared" si="23"/>
        <v xml:space="preserve"> </v>
      </c>
      <c r="E150" t="str">
        <f t="shared" si="24"/>
        <v xml:space="preserve"> </v>
      </c>
      <c r="F150">
        <f t="shared" si="25"/>
        <v>599.98</v>
      </c>
      <c r="G150" t="str">
        <f t="shared" si="29"/>
        <v xml:space="preserve"> </v>
      </c>
      <c r="H150" t="str">
        <f t="shared" si="30"/>
        <v/>
      </c>
      <c r="I150" t="str">
        <f t="shared" si="31"/>
        <v/>
      </c>
      <c r="K150">
        <f>Table1[[#This Row],[Quantity]]</f>
        <v>3</v>
      </c>
      <c r="L150" t="str">
        <f>Table1[[#This Row],[Category]]</f>
        <v>Furniture</v>
      </c>
      <c r="M150" t="str">
        <f>Table1[[#This Row],[Product_Name]]</f>
        <v>Bookshelf</v>
      </c>
      <c r="N150" t="str">
        <f t="shared" si="28"/>
        <v>no</v>
      </c>
      <c r="O150" t="str">
        <f t="shared" si="26"/>
        <v>no</v>
      </c>
      <c r="P150" t="str">
        <f t="shared" si="27"/>
        <v>no</v>
      </c>
    </row>
    <row r="151" spans="1:16" x14ac:dyDescent="0.3">
      <c r="A151" s="8" t="s">
        <v>157</v>
      </c>
      <c r="B151" s="8" t="s">
        <v>21</v>
      </c>
      <c r="C151" s="15">
        <v>699.99</v>
      </c>
      <c r="D151">
        <f t="shared" si="23"/>
        <v>699.99</v>
      </c>
      <c r="E151" t="str">
        <f t="shared" si="24"/>
        <v xml:space="preserve"> </v>
      </c>
      <c r="F151" t="str">
        <f t="shared" si="25"/>
        <v/>
      </c>
      <c r="G151" t="str">
        <f t="shared" si="29"/>
        <v xml:space="preserve"> </v>
      </c>
      <c r="H151" t="str">
        <f t="shared" si="30"/>
        <v/>
      </c>
      <c r="I151" t="str">
        <f t="shared" si="31"/>
        <v/>
      </c>
      <c r="K151">
        <f>Table1[[#This Row],[Quantity]]</f>
        <v>3</v>
      </c>
      <c r="L151" t="str">
        <f>Table1[[#This Row],[Category]]</f>
        <v>Appliances</v>
      </c>
      <c r="M151" t="str">
        <f>Table1[[#This Row],[Product_Name]]</f>
        <v>Coffee Maker</v>
      </c>
      <c r="N151" t="str">
        <f t="shared" si="28"/>
        <v>no</v>
      </c>
      <c r="O151" t="str">
        <f t="shared" si="26"/>
        <v>no</v>
      </c>
      <c r="P151" t="str">
        <f t="shared" si="27"/>
        <v>no</v>
      </c>
    </row>
    <row r="152" spans="1:16" x14ac:dyDescent="0.3">
      <c r="A152" s="7" t="s">
        <v>86</v>
      </c>
      <c r="B152" s="7" t="s">
        <v>21</v>
      </c>
      <c r="C152" s="14">
        <v>699.99</v>
      </c>
      <c r="D152">
        <f t="shared" si="23"/>
        <v>699.99</v>
      </c>
      <c r="E152" t="str">
        <f t="shared" si="24"/>
        <v xml:space="preserve"> </v>
      </c>
      <c r="F152" t="str">
        <f t="shared" si="25"/>
        <v/>
      </c>
      <c r="G152" t="str">
        <f t="shared" si="29"/>
        <v xml:space="preserve"> </v>
      </c>
      <c r="H152" t="str">
        <f t="shared" si="30"/>
        <v/>
      </c>
      <c r="I152" t="str">
        <f t="shared" si="31"/>
        <v/>
      </c>
      <c r="K152">
        <f>Table1[[#This Row],[Quantity]]</f>
        <v>3</v>
      </c>
      <c r="L152" t="str">
        <f>Table1[[#This Row],[Category]]</f>
        <v>Furniture</v>
      </c>
      <c r="M152" t="str">
        <f>Table1[[#This Row],[Product_Name]]</f>
        <v>Desk</v>
      </c>
      <c r="N152" t="str">
        <f t="shared" si="28"/>
        <v>no</v>
      </c>
      <c r="O152" t="str">
        <f t="shared" si="26"/>
        <v>no</v>
      </c>
      <c r="P152" t="str">
        <f t="shared" si="27"/>
        <v>no</v>
      </c>
    </row>
    <row r="153" spans="1:16" x14ac:dyDescent="0.3">
      <c r="A153" s="8" t="s">
        <v>237</v>
      </c>
      <c r="B153" s="8" t="s">
        <v>21</v>
      </c>
      <c r="C153" s="15">
        <v>699.99</v>
      </c>
      <c r="D153">
        <f t="shared" si="23"/>
        <v>699.99</v>
      </c>
      <c r="E153" t="str">
        <f t="shared" si="24"/>
        <v xml:space="preserve"> </v>
      </c>
      <c r="F153" t="str">
        <f t="shared" si="25"/>
        <v/>
      </c>
      <c r="G153" t="str">
        <f t="shared" si="29"/>
        <v xml:space="preserve"> </v>
      </c>
      <c r="H153" t="str">
        <f t="shared" si="30"/>
        <v/>
      </c>
      <c r="I153" t="str">
        <f t="shared" si="31"/>
        <v/>
      </c>
      <c r="K153">
        <f>Table1[[#This Row],[Quantity]]</f>
        <v>3</v>
      </c>
      <c r="L153" t="str">
        <f>Table1[[#This Row],[Category]]</f>
        <v>Furniture</v>
      </c>
      <c r="M153" t="str">
        <f>Table1[[#This Row],[Product_Name]]</f>
        <v>Desk</v>
      </c>
      <c r="N153" t="str">
        <f t="shared" si="28"/>
        <v>no</v>
      </c>
      <c r="O153" t="str">
        <f t="shared" si="26"/>
        <v>no</v>
      </c>
      <c r="P153" t="str">
        <f t="shared" si="27"/>
        <v>no</v>
      </c>
    </row>
    <row r="154" spans="1:16" x14ac:dyDescent="0.3">
      <c r="A154" s="7" t="s">
        <v>89</v>
      </c>
      <c r="B154" s="8" t="s">
        <v>48</v>
      </c>
      <c r="C154" s="15">
        <v>749.95</v>
      </c>
      <c r="D154" t="str">
        <f t="shared" si="23"/>
        <v xml:space="preserve"> </v>
      </c>
      <c r="E154" t="str">
        <f t="shared" si="24"/>
        <v xml:space="preserve"> </v>
      </c>
      <c r="F154">
        <f t="shared" si="25"/>
        <v>749.95</v>
      </c>
      <c r="G154" t="str">
        <f t="shared" si="29"/>
        <v xml:space="preserve"> </v>
      </c>
      <c r="H154" t="str">
        <f t="shared" si="30"/>
        <v/>
      </c>
      <c r="I154" t="str">
        <f t="shared" si="31"/>
        <v/>
      </c>
      <c r="K154">
        <f>Table1[[#This Row],[Quantity]]</f>
        <v>3</v>
      </c>
      <c r="L154" t="str">
        <f>Table1[[#This Row],[Category]]</f>
        <v>Appliances</v>
      </c>
      <c r="M154" t="str">
        <f>Table1[[#This Row],[Product_Name]]</f>
        <v>Coffee Maker</v>
      </c>
      <c r="N154" t="str">
        <f t="shared" si="28"/>
        <v>no</v>
      </c>
      <c r="O154" t="str">
        <f t="shared" si="26"/>
        <v>no</v>
      </c>
      <c r="P154" t="str">
        <f t="shared" si="27"/>
        <v>no</v>
      </c>
    </row>
    <row r="155" spans="1:16" x14ac:dyDescent="0.3">
      <c r="A155" s="8" t="s">
        <v>126</v>
      </c>
      <c r="B155" s="7" t="s">
        <v>48</v>
      </c>
      <c r="C155" s="14">
        <v>749.95</v>
      </c>
      <c r="D155" t="str">
        <f t="shared" si="23"/>
        <v xml:space="preserve"> </v>
      </c>
      <c r="E155" t="str">
        <f t="shared" si="24"/>
        <v xml:space="preserve"> </v>
      </c>
      <c r="F155">
        <f t="shared" si="25"/>
        <v>749.95</v>
      </c>
      <c r="G155" t="str">
        <f t="shared" si="29"/>
        <v xml:space="preserve"> </v>
      </c>
      <c r="H155" t="str">
        <f t="shared" si="30"/>
        <v/>
      </c>
      <c r="I155" t="str">
        <f t="shared" si="31"/>
        <v/>
      </c>
      <c r="K155">
        <f>Table1[[#This Row],[Quantity]]</f>
        <v>3</v>
      </c>
      <c r="L155" t="str">
        <f>Table1[[#This Row],[Category]]</f>
        <v>Furniture</v>
      </c>
      <c r="M155" t="str">
        <f>Table1[[#This Row],[Product_Name]]</f>
        <v>Bookshelf</v>
      </c>
      <c r="N155" t="str">
        <f t="shared" si="28"/>
        <v>no</v>
      </c>
      <c r="O155" t="str">
        <f t="shared" si="26"/>
        <v>no</v>
      </c>
      <c r="P155" t="str">
        <f t="shared" si="27"/>
        <v>no</v>
      </c>
    </row>
    <row r="156" spans="1:16" x14ac:dyDescent="0.3">
      <c r="A156" s="7" t="s">
        <v>195</v>
      </c>
      <c r="B156" s="7" t="s">
        <v>48</v>
      </c>
      <c r="C156" s="14">
        <v>749.95</v>
      </c>
      <c r="D156" t="str">
        <f t="shared" si="23"/>
        <v xml:space="preserve"> </v>
      </c>
      <c r="E156" t="str">
        <f t="shared" si="24"/>
        <v xml:space="preserve"> </v>
      </c>
      <c r="F156">
        <f t="shared" si="25"/>
        <v>749.95</v>
      </c>
      <c r="G156" t="str">
        <f t="shared" si="29"/>
        <v xml:space="preserve"> </v>
      </c>
      <c r="H156" t="str">
        <f t="shared" si="30"/>
        <v/>
      </c>
      <c r="I156" t="str">
        <f t="shared" si="31"/>
        <v/>
      </c>
      <c r="K156">
        <f>Table1[[#This Row],[Quantity]]</f>
        <v>3</v>
      </c>
      <c r="L156" t="str">
        <f>Table1[[#This Row],[Category]]</f>
        <v>Furniture</v>
      </c>
      <c r="M156" t="str">
        <f>Table1[[#This Row],[Product_Name]]</f>
        <v>Desk</v>
      </c>
      <c r="N156" t="str">
        <f t="shared" si="28"/>
        <v>no</v>
      </c>
      <c r="O156" t="str">
        <f t="shared" si="26"/>
        <v>no</v>
      </c>
      <c r="P156" t="str">
        <f t="shared" si="27"/>
        <v>no</v>
      </c>
    </row>
    <row r="157" spans="1:16" x14ac:dyDescent="0.3">
      <c r="A157" s="8" t="s">
        <v>157</v>
      </c>
      <c r="B157" s="8" t="s">
        <v>48</v>
      </c>
      <c r="C157" s="15">
        <v>749.95</v>
      </c>
      <c r="D157" t="str">
        <f t="shared" si="23"/>
        <v xml:space="preserve"> </v>
      </c>
      <c r="E157" t="str">
        <f t="shared" si="24"/>
        <v xml:space="preserve"> </v>
      </c>
      <c r="F157">
        <f t="shared" si="25"/>
        <v>749.95</v>
      </c>
      <c r="G157" t="str">
        <f t="shared" si="29"/>
        <v xml:space="preserve"> </v>
      </c>
      <c r="H157" t="str">
        <f t="shared" si="30"/>
        <v/>
      </c>
      <c r="I157" t="str">
        <f t="shared" si="31"/>
        <v/>
      </c>
      <c r="K157">
        <f>Table1[[#This Row],[Quantity]]</f>
        <v>3</v>
      </c>
      <c r="L157" t="str">
        <f>Table1[[#This Row],[Category]]</f>
        <v>Appliances</v>
      </c>
      <c r="M157" t="str">
        <f>Table1[[#This Row],[Product_Name]]</f>
        <v>Coffee Maker</v>
      </c>
      <c r="N157" t="str">
        <f t="shared" si="28"/>
        <v>no</v>
      </c>
      <c r="O157" t="str">
        <f t="shared" si="26"/>
        <v>no</v>
      </c>
      <c r="P157" t="str">
        <f t="shared" si="27"/>
        <v>no</v>
      </c>
    </row>
    <row r="158" spans="1:16" x14ac:dyDescent="0.3">
      <c r="A158" s="7" t="s">
        <v>296</v>
      </c>
      <c r="B158" s="8" t="s">
        <v>48</v>
      </c>
      <c r="C158" s="15">
        <v>749.95</v>
      </c>
      <c r="D158" t="str">
        <f t="shared" si="23"/>
        <v xml:space="preserve"> </v>
      </c>
      <c r="E158" t="str">
        <f t="shared" si="24"/>
        <v xml:space="preserve"> </v>
      </c>
      <c r="F158">
        <f t="shared" si="25"/>
        <v>749.95</v>
      </c>
      <c r="G158" t="str">
        <f t="shared" si="29"/>
        <v xml:space="preserve"> </v>
      </c>
      <c r="H158" t="str">
        <f t="shared" si="30"/>
        <v/>
      </c>
      <c r="I158" t="str">
        <f t="shared" si="31"/>
        <v/>
      </c>
      <c r="K158">
        <f>Table1[[#This Row],[Quantity]]</f>
        <v>3</v>
      </c>
      <c r="L158" t="str">
        <f>Table1[[#This Row],[Category]]</f>
        <v>Furniture</v>
      </c>
      <c r="M158" t="str">
        <f>Table1[[#This Row],[Product_Name]]</f>
        <v>Bookshelf</v>
      </c>
      <c r="N158" t="str">
        <f t="shared" si="28"/>
        <v>no</v>
      </c>
      <c r="O158" t="str">
        <f t="shared" si="26"/>
        <v>no</v>
      </c>
      <c r="P158" t="str">
        <f t="shared" si="27"/>
        <v>no</v>
      </c>
    </row>
    <row r="159" spans="1:16" x14ac:dyDescent="0.3">
      <c r="A159" s="8" t="s">
        <v>115</v>
      </c>
      <c r="B159" s="8" t="s">
        <v>48</v>
      </c>
      <c r="C159" s="15">
        <v>749.95</v>
      </c>
      <c r="D159" t="str">
        <f t="shared" si="23"/>
        <v xml:space="preserve"> </v>
      </c>
      <c r="E159" t="str">
        <f t="shared" si="24"/>
        <v xml:space="preserve"> </v>
      </c>
      <c r="F159">
        <f t="shared" si="25"/>
        <v>749.95</v>
      </c>
      <c r="G159" t="str">
        <f t="shared" si="29"/>
        <v xml:space="preserve"> </v>
      </c>
      <c r="H159" t="str">
        <f t="shared" si="30"/>
        <v/>
      </c>
      <c r="I159" t="str">
        <f t="shared" si="31"/>
        <v/>
      </c>
      <c r="K159">
        <f>Table1[[#This Row],[Quantity]]</f>
        <v>3</v>
      </c>
      <c r="L159" t="str">
        <f>Table1[[#This Row],[Category]]</f>
        <v>Furniture</v>
      </c>
      <c r="M159" t="str">
        <f>Table1[[#This Row],[Product_Name]]</f>
        <v>Office Chair</v>
      </c>
      <c r="N159" t="str">
        <f t="shared" si="28"/>
        <v>no</v>
      </c>
      <c r="O159" t="str">
        <f t="shared" si="26"/>
        <v>no</v>
      </c>
      <c r="P159" t="str">
        <f t="shared" si="27"/>
        <v>no</v>
      </c>
    </row>
    <row r="160" spans="1:16" x14ac:dyDescent="0.3">
      <c r="A160" s="7" t="s">
        <v>32</v>
      </c>
      <c r="B160" s="8" t="s">
        <v>21</v>
      </c>
      <c r="C160" s="15">
        <v>749.95</v>
      </c>
      <c r="D160">
        <f t="shared" si="23"/>
        <v>749.95</v>
      </c>
      <c r="E160" t="str">
        <f t="shared" si="24"/>
        <v xml:space="preserve"> </v>
      </c>
      <c r="F160" t="str">
        <f t="shared" si="25"/>
        <v/>
      </c>
      <c r="G160" t="str">
        <f t="shared" si="29"/>
        <v xml:space="preserve"> </v>
      </c>
      <c r="H160" t="str">
        <f t="shared" si="30"/>
        <v/>
      </c>
      <c r="I160" t="str">
        <f t="shared" si="31"/>
        <v/>
      </c>
      <c r="K160">
        <f>Table1[[#This Row],[Quantity]]</f>
        <v>3</v>
      </c>
      <c r="L160" t="str">
        <f>Table1[[#This Row],[Category]]</f>
        <v>Furniture</v>
      </c>
      <c r="M160" t="str">
        <f>Table1[[#This Row],[Product_Name]]</f>
        <v>Bookshelf</v>
      </c>
      <c r="N160" t="str">
        <f t="shared" si="28"/>
        <v>no</v>
      </c>
      <c r="O160" t="str">
        <f t="shared" si="26"/>
        <v>no</v>
      </c>
      <c r="P160" t="str">
        <f t="shared" si="27"/>
        <v>no</v>
      </c>
    </row>
    <row r="161" spans="1:16" x14ac:dyDescent="0.3">
      <c r="A161" s="8" t="s">
        <v>58</v>
      </c>
      <c r="B161" s="8" t="s">
        <v>21</v>
      </c>
      <c r="C161" s="15">
        <v>749.95</v>
      </c>
      <c r="D161">
        <f t="shared" si="23"/>
        <v>749.95</v>
      </c>
      <c r="E161" t="str">
        <f t="shared" si="24"/>
        <v xml:space="preserve"> </v>
      </c>
      <c r="F161" t="str">
        <f t="shared" si="25"/>
        <v/>
      </c>
      <c r="G161" t="str">
        <f t="shared" si="29"/>
        <v xml:space="preserve"> </v>
      </c>
      <c r="H161" t="str">
        <f t="shared" si="30"/>
        <v/>
      </c>
      <c r="I161" t="str">
        <f t="shared" si="31"/>
        <v/>
      </c>
      <c r="K161">
        <f>Table1[[#This Row],[Quantity]]</f>
        <v>3</v>
      </c>
      <c r="L161" t="str">
        <f>Table1[[#This Row],[Category]]</f>
        <v>Furniture</v>
      </c>
      <c r="M161" t="str">
        <f>Table1[[#This Row],[Product_Name]]</f>
        <v>Office Chair</v>
      </c>
      <c r="N161" t="str">
        <f t="shared" si="28"/>
        <v>no</v>
      </c>
      <c r="O161" t="str">
        <f t="shared" si="26"/>
        <v>no</v>
      </c>
      <c r="P161" t="str">
        <f t="shared" si="27"/>
        <v>no</v>
      </c>
    </row>
    <row r="162" spans="1:16" x14ac:dyDescent="0.3">
      <c r="A162" s="7" t="s">
        <v>27</v>
      </c>
      <c r="B162" s="8" t="s">
        <v>21</v>
      </c>
      <c r="C162" s="15">
        <v>749.97</v>
      </c>
      <c r="D162">
        <f t="shared" si="23"/>
        <v>749.97</v>
      </c>
      <c r="E162" t="str">
        <f t="shared" si="24"/>
        <v xml:space="preserve"> </v>
      </c>
      <c r="F162" t="str">
        <f t="shared" si="25"/>
        <v/>
      </c>
      <c r="G162" t="str">
        <f t="shared" si="29"/>
        <v xml:space="preserve"> </v>
      </c>
      <c r="H162" t="str">
        <f t="shared" si="30"/>
        <v/>
      </c>
      <c r="I162" t="str">
        <f t="shared" si="31"/>
        <v/>
      </c>
      <c r="K162">
        <f>Table1[[#This Row],[Quantity]]</f>
        <v>3</v>
      </c>
      <c r="L162" t="str">
        <f>Table1[[#This Row],[Category]]</f>
        <v>Furniture</v>
      </c>
      <c r="M162" t="str">
        <f>Table1[[#This Row],[Product_Name]]</f>
        <v>Desk</v>
      </c>
      <c r="N162" t="str">
        <f t="shared" si="28"/>
        <v>no</v>
      </c>
      <c r="O162" t="str">
        <f t="shared" si="26"/>
        <v>no</v>
      </c>
      <c r="P162" t="str">
        <f t="shared" si="27"/>
        <v>no</v>
      </c>
    </row>
    <row r="163" spans="1:16" x14ac:dyDescent="0.3">
      <c r="A163" s="8" t="s">
        <v>89</v>
      </c>
      <c r="B163" s="7" t="s">
        <v>21</v>
      </c>
      <c r="C163" s="14">
        <v>749.97</v>
      </c>
      <c r="D163">
        <f t="shared" si="23"/>
        <v>749.97</v>
      </c>
      <c r="E163" t="str">
        <f t="shared" si="24"/>
        <v xml:space="preserve"> </v>
      </c>
      <c r="F163" t="str">
        <f t="shared" si="25"/>
        <v/>
      </c>
      <c r="G163" t="str">
        <f t="shared" si="29"/>
        <v xml:space="preserve"> </v>
      </c>
      <c r="H163" t="str">
        <f t="shared" si="30"/>
        <v/>
      </c>
      <c r="I163" t="str">
        <f t="shared" si="31"/>
        <v/>
      </c>
      <c r="K163">
        <f>Table1[[#This Row],[Quantity]]</f>
        <v>3</v>
      </c>
      <c r="L163" t="str">
        <f>Table1[[#This Row],[Category]]</f>
        <v>Furniture</v>
      </c>
      <c r="M163" t="str">
        <f>Table1[[#This Row],[Product_Name]]</f>
        <v>Bookshelf</v>
      </c>
      <c r="N163" t="str">
        <f t="shared" si="28"/>
        <v>no</v>
      </c>
      <c r="O163" t="str">
        <f t="shared" si="26"/>
        <v>no</v>
      </c>
      <c r="P163" t="str">
        <f t="shared" si="27"/>
        <v>no</v>
      </c>
    </row>
    <row r="164" spans="1:16" x14ac:dyDescent="0.3">
      <c r="A164" s="7" t="s">
        <v>255</v>
      </c>
      <c r="B164" s="7" t="s">
        <v>21</v>
      </c>
      <c r="C164" s="14">
        <v>749.97</v>
      </c>
      <c r="D164">
        <f t="shared" si="23"/>
        <v>749.97</v>
      </c>
      <c r="E164" t="str">
        <f t="shared" si="24"/>
        <v xml:space="preserve"> </v>
      </c>
      <c r="F164" t="str">
        <f t="shared" si="25"/>
        <v/>
      </c>
      <c r="G164" t="str">
        <f t="shared" si="29"/>
        <v xml:space="preserve"> </v>
      </c>
      <c r="H164" t="str">
        <f t="shared" si="30"/>
        <v/>
      </c>
      <c r="I164" t="str">
        <f t="shared" si="31"/>
        <v/>
      </c>
      <c r="K164">
        <f>Table1[[#This Row],[Quantity]]</f>
        <v>4</v>
      </c>
      <c r="L164" t="str">
        <f>Table1[[#This Row],[Category]]</f>
        <v>Appliances</v>
      </c>
      <c r="M164" t="str">
        <f>Table1[[#This Row],[Product_Name]]</f>
        <v>Blender</v>
      </c>
      <c r="N164" t="str">
        <f t="shared" si="28"/>
        <v>no</v>
      </c>
      <c r="O164" t="str">
        <f t="shared" si="26"/>
        <v>no</v>
      </c>
      <c r="P164" t="str">
        <f t="shared" si="27"/>
        <v>no</v>
      </c>
    </row>
    <row r="165" spans="1:16" x14ac:dyDescent="0.3">
      <c r="A165" s="8" t="s">
        <v>51</v>
      </c>
      <c r="B165" s="7" t="s">
        <v>21</v>
      </c>
      <c r="C165" s="14">
        <v>749.97</v>
      </c>
      <c r="D165">
        <f t="shared" si="23"/>
        <v>749.97</v>
      </c>
      <c r="E165" t="str">
        <f t="shared" si="24"/>
        <v xml:space="preserve"> </v>
      </c>
      <c r="F165" t="str">
        <f t="shared" si="25"/>
        <v/>
      </c>
      <c r="G165" t="str">
        <f t="shared" si="29"/>
        <v xml:space="preserve"> </v>
      </c>
      <c r="H165" t="str">
        <f t="shared" si="30"/>
        <v/>
      </c>
      <c r="I165" t="str">
        <f t="shared" si="31"/>
        <v/>
      </c>
      <c r="K165">
        <f>Table1[[#This Row],[Quantity]]</f>
        <v>4</v>
      </c>
      <c r="L165" t="str">
        <f>Table1[[#This Row],[Category]]</f>
        <v>Appliances</v>
      </c>
      <c r="M165" t="str">
        <f>Table1[[#This Row],[Product_Name]]</f>
        <v>Blender</v>
      </c>
      <c r="N165" t="str">
        <f t="shared" si="28"/>
        <v>no</v>
      </c>
      <c r="O165" t="str">
        <f t="shared" si="26"/>
        <v>no</v>
      </c>
      <c r="P165" t="str">
        <f t="shared" si="27"/>
        <v>no</v>
      </c>
    </row>
    <row r="166" spans="1:16" x14ac:dyDescent="0.3">
      <c r="A166" s="7" t="s">
        <v>111</v>
      </c>
      <c r="B166" s="8" t="s">
        <v>48</v>
      </c>
      <c r="C166" s="15">
        <v>799.96</v>
      </c>
      <c r="D166" t="str">
        <f t="shared" si="23"/>
        <v xml:space="preserve"> </v>
      </c>
      <c r="E166" t="str">
        <f t="shared" si="24"/>
        <v xml:space="preserve"> </v>
      </c>
      <c r="F166">
        <f t="shared" si="25"/>
        <v>799.96</v>
      </c>
      <c r="G166" t="str">
        <f t="shared" si="29"/>
        <v xml:space="preserve"> </v>
      </c>
      <c r="H166" t="str">
        <f t="shared" si="30"/>
        <v/>
      </c>
      <c r="I166" t="str">
        <f t="shared" si="31"/>
        <v/>
      </c>
      <c r="K166">
        <f>Table1[[#This Row],[Quantity]]</f>
        <v>4</v>
      </c>
      <c r="L166" t="str">
        <f>Table1[[#This Row],[Category]]</f>
        <v>Appliances</v>
      </c>
      <c r="M166" t="str">
        <f>Table1[[#This Row],[Product_Name]]</f>
        <v>Blender</v>
      </c>
      <c r="N166" t="str">
        <f t="shared" si="28"/>
        <v>no</v>
      </c>
      <c r="O166" t="str">
        <f t="shared" si="26"/>
        <v>no</v>
      </c>
      <c r="P166" t="str">
        <f t="shared" si="27"/>
        <v>no</v>
      </c>
    </row>
    <row r="167" spans="1:16" x14ac:dyDescent="0.3">
      <c r="A167" s="8" t="s">
        <v>307</v>
      </c>
      <c r="B167" s="8" t="s">
        <v>48</v>
      </c>
      <c r="C167" s="15">
        <v>799.96</v>
      </c>
      <c r="D167" t="str">
        <f t="shared" si="23"/>
        <v xml:space="preserve"> </v>
      </c>
      <c r="E167" t="str">
        <f t="shared" si="24"/>
        <v xml:space="preserve"> </v>
      </c>
      <c r="F167">
        <f t="shared" si="25"/>
        <v>799.96</v>
      </c>
      <c r="G167" t="str">
        <f t="shared" si="29"/>
        <v xml:space="preserve"> </v>
      </c>
      <c r="H167" t="str">
        <f t="shared" si="30"/>
        <v/>
      </c>
      <c r="I167" t="str">
        <f t="shared" si="31"/>
        <v/>
      </c>
      <c r="K167">
        <f>Table1[[#This Row],[Quantity]]</f>
        <v>4</v>
      </c>
      <c r="L167" t="str">
        <f>Table1[[#This Row],[Category]]</f>
        <v>Appliances</v>
      </c>
      <c r="M167" t="str">
        <f>Table1[[#This Row],[Product_Name]]</f>
        <v>Coffee Maker</v>
      </c>
      <c r="N167" t="str">
        <f t="shared" si="28"/>
        <v>no</v>
      </c>
      <c r="O167" t="str">
        <f t="shared" si="26"/>
        <v>no</v>
      </c>
      <c r="P167" t="str">
        <f t="shared" si="27"/>
        <v>no</v>
      </c>
    </row>
    <row r="168" spans="1:16" x14ac:dyDescent="0.3">
      <c r="A168" s="7" t="s">
        <v>144</v>
      </c>
      <c r="B168" s="8" t="s">
        <v>48</v>
      </c>
      <c r="C168" s="15">
        <v>799.96</v>
      </c>
      <c r="D168" t="str">
        <f t="shared" si="23"/>
        <v xml:space="preserve"> </v>
      </c>
      <c r="E168" t="str">
        <f t="shared" si="24"/>
        <v xml:space="preserve"> </v>
      </c>
      <c r="F168">
        <f t="shared" si="25"/>
        <v>799.96</v>
      </c>
      <c r="G168" t="str">
        <f t="shared" si="29"/>
        <v xml:space="preserve"> </v>
      </c>
      <c r="H168" t="str">
        <f t="shared" si="30"/>
        <v/>
      </c>
      <c r="I168" t="str">
        <f t="shared" si="31"/>
        <v/>
      </c>
      <c r="K168">
        <f>Table1[[#This Row],[Quantity]]</f>
        <v>4</v>
      </c>
      <c r="L168" t="str">
        <f>Table1[[#This Row],[Category]]</f>
        <v>Appliances</v>
      </c>
      <c r="M168" t="str">
        <f>Table1[[#This Row],[Product_Name]]</f>
        <v>Coffee Maker</v>
      </c>
      <c r="N168" t="str">
        <f t="shared" si="28"/>
        <v>no</v>
      </c>
      <c r="O168" t="str">
        <f t="shared" si="26"/>
        <v>no</v>
      </c>
      <c r="P168" t="str">
        <f t="shared" si="27"/>
        <v>no</v>
      </c>
    </row>
    <row r="169" spans="1:16" x14ac:dyDescent="0.3">
      <c r="A169" s="8" t="s">
        <v>123</v>
      </c>
      <c r="B169" s="8" t="s">
        <v>48</v>
      </c>
      <c r="C169" s="15">
        <v>799.96</v>
      </c>
      <c r="D169" t="str">
        <f t="shared" si="23"/>
        <v xml:space="preserve"> </v>
      </c>
      <c r="E169" t="str">
        <f t="shared" si="24"/>
        <v xml:space="preserve"> </v>
      </c>
      <c r="F169">
        <f t="shared" si="25"/>
        <v>799.96</v>
      </c>
      <c r="G169" t="str">
        <f t="shared" si="29"/>
        <v xml:space="preserve"> </v>
      </c>
      <c r="H169" t="str">
        <f t="shared" si="30"/>
        <v/>
      </c>
      <c r="I169" t="str">
        <f t="shared" si="31"/>
        <v/>
      </c>
      <c r="K169">
        <f>Table1[[#This Row],[Quantity]]</f>
        <v>4</v>
      </c>
      <c r="L169" t="str">
        <f>Table1[[#This Row],[Category]]</f>
        <v>Appliances</v>
      </c>
      <c r="M169" t="str">
        <f>Table1[[#This Row],[Product_Name]]</f>
        <v>Blender</v>
      </c>
      <c r="N169" t="str">
        <f t="shared" si="28"/>
        <v>no</v>
      </c>
      <c r="O169" t="str">
        <f t="shared" si="26"/>
        <v>no</v>
      </c>
      <c r="P169" t="str">
        <f t="shared" si="27"/>
        <v>no</v>
      </c>
    </row>
    <row r="170" spans="1:16" x14ac:dyDescent="0.3">
      <c r="A170" s="7" t="s">
        <v>75</v>
      </c>
      <c r="B170" s="8" t="s">
        <v>48</v>
      </c>
      <c r="C170" s="15">
        <v>799.96</v>
      </c>
      <c r="D170" t="str">
        <f t="shared" si="23"/>
        <v xml:space="preserve"> </v>
      </c>
      <c r="E170" t="str">
        <f t="shared" si="24"/>
        <v xml:space="preserve"> </v>
      </c>
      <c r="F170">
        <f t="shared" si="25"/>
        <v>799.96</v>
      </c>
      <c r="G170" t="str">
        <f t="shared" si="29"/>
        <v xml:space="preserve"> </v>
      </c>
      <c r="H170" t="str">
        <f t="shared" si="30"/>
        <v/>
      </c>
      <c r="I170" t="str">
        <f t="shared" si="31"/>
        <v/>
      </c>
      <c r="K170">
        <f>Table1[[#This Row],[Quantity]]</f>
        <v>4</v>
      </c>
      <c r="L170" t="str">
        <f>Table1[[#This Row],[Category]]</f>
        <v>Appliances</v>
      </c>
      <c r="M170" t="str">
        <f>Table1[[#This Row],[Product_Name]]</f>
        <v>Blender</v>
      </c>
      <c r="N170" t="str">
        <f t="shared" si="28"/>
        <v>no</v>
      </c>
      <c r="O170" t="str">
        <f t="shared" si="26"/>
        <v>no</v>
      </c>
      <c r="P170" t="str">
        <f t="shared" si="27"/>
        <v>no</v>
      </c>
    </row>
    <row r="171" spans="1:16" x14ac:dyDescent="0.3">
      <c r="A171" s="8" t="s">
        <v>185</v>
      </c>
      <c r="B171" s="8" t="s">
        <v>48</v>
      </c>
      <c r="C171" s="15">
        <v>899.97</v>
      </c>
      <c r="D171" t="str">
        <f t="shared" si="23"/>
        <v xml:space="preserve"> </v>
      </c>
      <c r="E171" t="str">
        <f t="shared" si="24"/>
        <v xml:space="preserve"> </v>
      </c>
      <c r="F171">
        <f t="shared" si="25"/>
        <v>899.97</v>
      </c>
      <c r="G171" t="str">
        <f t="shared" si="29"/>
        <v xml:space="preserve"> </v>
      </c>
      <c r="H171" t="str">
        <f t="shared" si="30"/>
        <v/>
      </c>
      <c r="I171" t="str">
        <f t="shared" si="31"/>
        <v/>
      </c>
      <c r="K171">
        <f>Table1[[#This Row],[Quantity]]</f>
        <v>4</v>
      </c>
      <c r="L171" t="str">
        <f>Table1[[#This Row],[Category]]</f>
        <v>Appliances</v>
      </c>
      <c r="M171" t="str">
        <f>Table1[[#This Row],[Product_Name]]</f>
        <v>Coffee Maker</v>
      </c>
      <c r="N171" t="str">
        <f t="shared" si="28"/>
        <v>no</v>
      </c>
      <c r="O171" t="str">
        <f t="shared" si="26"/>
        <v>no</v>
      </c>
      <c r="P171" t="str">
        <f t="shared" si="27"/>
        <v>no</v>
      </c>
    </row>
    <row r="172" spans="1:16" x14ac:dyDescent="0.3">
      <c r="A172" s="7" t="s">
        <v>141</v>
      </c>
      <c r="B172" s="8" t="s">
        <v>48</v>
      </c>
      <c r="C172" s="15">
        <v>899.97</v>
      </c>
      <c r="D172" t="str">
        <f t="shared" si="23"/>
        <v xml:space="preserve"> </v>
      </c>
      <c r="E172" t="str">
        <f t="shared" si="24"/>
        <v xml:space="preserve"> </v>
      </c>
      <c r="F172">
        <f t="shared" si="25"/>
        <v>899.97</v>
      </c>
      <c r="G172" t="str">
        <f t="shared" si="29"/>
        <v xml:space="preserve"> </v>
      </c>
      <c r="H172" t="str">
        <f t="shared" si="30"/>
        <v/>
      </c>
      <c r="I172" t="str">
        <f t="shared" si="31"/>
        <v/>
      </c>
      <c r="K172">
        <f>Table1[[#This Row],[Quantity]]</f>
        <v>4</v>
      </c>
      <c r="L172" t="str">
        <f>Table1[[#This Row],[Category]]</f>
        <v>Furniture</v>
      </c>
      <c r="M172" t="str">
        <f>Table1[[#This Row],[Product_Name]]</f>
        <v>Bookshelf</v>
      </c>
      <c r="N172" t="str">
        <f t="shared" si="28"/>
        <v>no</v>
      </c>
      <c r="O172" t="str">
        <f t="shared" si="26"/>
        <v>no</v>
      </c>
      <c r="P172" t="str">
        <f t="shared" si="27"/>
        <v>no</v>
      </c>
    </row>
    <row r="173" spans="1:16" x14ac:dyDescent="0.3">
      <c r="A173" s="8" t="s">
        <v>135</v>
      </c>
      <c r="B173" s="8" t="s">
        <v>48</v>
      </c>
      <c r="C173" s="15">
        <v>899.97</v>
      </c>
      <c r="D173" t="str">
        <f t="shared" si="23"/>
        <v xml:space="preserve"> </v>
      </c>
      <c r="E173" t="str">
        <f t="shared" si="24"/>
        <v xml:space="preserve"> </v>
      </c>
      <c r="F173">
        <f t="shared" si="25"/>
        <v>899.97</v>
      </c>
      <c r="G173" t="str">
        <f t="shared" si="29"/>
        <v xml:space="preserve"> </v>
      </c>
      <c r="H173" t="str">
        <f t="shared" si="30"/>
        <v/>
      </c>
      <c r="I173" t="str">
        <f t="shared" si="31"/>
        <v/>
      </c>
      <c r="K173">
        <f>Table1[[#This Row],[Quantity]]</f>
        <v>4</v>
      </c>
      <c r="L173" t="str">
        <f>Table1[[#This Row],[Category]]</f>
        <v>Electronics</v>
      </c>
      <c r="M173" t="str">
        <f>Table1[[#This Row],[Product_Name]]</f>
        <v>Laptop</v>
      </c>
      <c r="N173" t="str">
        <f t="shared" si="28"/>
        <v>no</v>
      </c>
      <c r="O173" t="str">
        <f t="shared" si="26"/>
        <v>no</v>
      </c>
      <c r="P173" t="str">
        <f t="shared" si="27"/>
        <v>no</v>
      </c>
    </row>
    <row r="174" spans="1:16" x14ac:dyDescent="0.3">
      <c r="A174" s="7" t="s">
        <v>185</v>
      </c>
      <c r="B174" s="7" t="s">
        <v>48</v>
      </c>
      <c r="C174" s="14">
        <v>899.97</v>
      </c>
      <c r="D174" t="str">
        <f t="shared" si="23"/>
        <v xml:space="preserve"> </v>
      </c>
      <c r="E174" t="str">
        <f t="shared" si="24"/>
        <v xml:space="preserve"> </v>
      </c>
      <c r="F174">
        <f t="shared" si="25"/>
        <v>899.97</v>
      </c>
      <c r="G174" t="str">
        <f t="shared" si="29"/>
        <v xml:space="preserve"> </v>
      </c>
      <c r="H174" t="str">
        <f t="shared" si="30"/>
        <v/>
      </c>
      <c r="I174" t="str">
        <f t="shared" si="31"/>
        <v/>
      </c>
      <c r="K174">
        <f>Table1[[#This Row],[Quantity]]</f>
        <v>4</v>
      </c>
      <c r="L174" t="str">
        <f>Table1[[#This Row],[Category]]</f>
        <v>Electronics</v>
      </c>
      <c r="M174" t="str">
        <f>Table1[[#This Row],[Product_Name]]</f>
        <v>Smartphone</v>
      </c>
      <c r="N174" t="str">
        <f t="shared" si="28"/>
        <v>no</v>
      </c>
      <c r="O174" t="str">
        <f t="shared" si="26"/>
        <v>no</v>
      </c>
      <c r="P174" t="str">
        <f t="shared" si="27"/>
        <v>no</v>
      </c>
    </row>
    <row r="175" spans="1:16" x14ac:dyDescent="0.3">
      <c r="A175" s="8" t="s">
        <v>150</v>
      </c>
      <c r="B175" s="7" t="s">
        <v>48</v>
      </c>
      <c r="C175" s="14">
        <v>899.97</v>
      </c>
      <c r="D175" t="str">
        <f t="shared" si="23"/>
        <v xml:space="preserve"> </v>
      </c>
      <c r="E175" t="str">
        <f t="shared" si="24"/>
        <v xml:space="preserve"> </v>
      </c>
      <c r="F175">
        <f t="shared" si="25"/>
        <v>899.97</v>
      </c>
      <c r="G175" t="str">
        <f t="shared" si="29"/>
        <v xml:space="preserve"> </v>
      </c>
      <c r="H175" t="str">
        <f t="shared" si="30"/>
        <v/>
      </c>
      <c r="I175" t="str">
        <f t="shared" si="31"/>
        <v/>
      </c>
      <c r="K175">
        <f>Table1[[#This Row],[Quantity]]</f>
        <v>4</v>
      </c>
      <c r="L175" t="str">
        <f>Table1[[#This Row],[Category]]</f>
        <v>Furniture</v>
      </c>
      <c r="M175" t="str">
        <f>Table1[[#This Row],[Product_Name]]</f>
        <v>Desk</v>
      </c>
      <c r="N175" t="str">
        <f t="shared" si="28"/>
        <v>no</v>
      </c>
      <c r="O175" t="str">
        <f t="shared" si="26"/>
        <v>no</v>
      </c>
      <c r="P175" t="str">
        <f t="shared" si="27"/>
        <v>no</v>
      </c>
    </row>
    <row r="176" spans="1:16" x14ac:dyDescent="0.3">
      <c r="A176" s="7" t="s">
        <v>45</v>
      </c>
      <c r="B176" s="7" t="s">
        <v>48</v>
      </c>
      <c r="C176" s="14">
        <v>899.97</v>
      </c>
      <c r="D176" t="str">
        <f t="shared" si="23"/>
        <v xml:space="preserve"> </v>
      </c>
      <c r="E176" t="str">
        <f t="shared" si="24"/>
        <v xml:space="preserve"> </v>
      </c>
      <c r="F176">
        <f t="shared" si="25"/>
        <v>899.97</v>
      </c>
      <c r="G176" t="str">
        <f t="shared" si="29"/>
        <v xml:space="preserve"> </v>
      </c>
      <c r="H176" t="str">
        <f t="shared" si="30"/>
        <v/>
      </c>
      <c r="I176" t="str">
        <f t="shared" si="31"/>
        <v/>
      </c>
      <c r="K176">
        <f>Table1[[#This Row],[Quantity]]</f>
        <v>4</v>
      </c>
      <c r="L176" t="str">
        <f>Table1[[#This Row],[Category]]</f>
        <v>Electronics</v>
      </c>
      <c r="M176" t="str">
        <f>Table1[[#This Row],[Product_Name]]</f>
        <v>Monitor</v>
      </c>
      <c r="N176" t="str">
        <f t="shared" si="28"/>
        <v>no</v>
      </c>
      <c r="O176" t="str">
        <f t="shared" si="26"/>
        <v>no</v>
      </c>
      <c r="P176" t="str">
        <f t="shared" si="27"/>
        <v>no</v>
      </c>
    </row>
    <row r="177" spans="1:16" x14ac:dyDescent="0.3">
      <c r="A177" s="8" t="s">
        <v>115</v>
      </c>
      <c r="B177" s="7" t="s">
        <v>48</v>
      </c>
      <c r="C177" s="14">
        <v>899.97</v>
      </c>
      <c r="D177" t="str">
        <f t="shared" si="23"/>
        <v xml:space="preserve"> </v>
      </c>
      <c r="E177" t="str">
        <f t="shared" si="24"/>
        <v xml:space="preserve"> </v>
      </c>
      <c r="F177">
        <f t="shared" si="25"/>
        <v>899.97</v>
      </c>
      <c r="G177" t="str">
        <f t="shared" si="29"/>
        <v xml:space="preserve"> </v>
      </c>
      <c r="H177" t="str">
        <f t="shared" si="30"/>
        <v/>
      </c>
      <c r="I177" t="str">
        <f t="shared" si="31"/>
        <v/>
      </c>
      <c r="K177">
        <f>Table1[[#This Row],[Quantity]]</f>
        <v>4</v>
      </c>
      <c r="L177" t="str">
        <f>Table1[[#This Row],[Category]]</f>
        <v>Electronics</v>
      </c>
      <c r="M177" t="str">
        <f>Table1[[#This Row],[Product_Name]]</f>
        <v>Keyboard</v>
      </c>
      <c r="N177" t="str">
        <f t="shared" si="28"/>
        <v>no</v>
      </c>
      <c r="O177" t="str">
        <f t="shared" si="26"/>
        <v>no</v>
      </c>
      <c r="P177" t="str">
        <f t="shared" si="27"/>
        <v>no</v>
      </c>
    </row>
    <row r="178" spans="1:16" x14ac:dyDescent="0.3">
      <c r="A178" s="7" t="s">
        <v>185</v>
      </c>
      <c r="B178" s="7" t="s">
        <v>48</v>
      </c>
      <c r="C178" s="14">
        <v>899.97</v>
      </c>
      <c r="D178" t="str">
        <f t="shared" si="23"/>
        <v xml:space="preserve"> </v>
      </c>
      <c r="E178" t="str">
        <f t="shared" si="24"/>
        <v xml:space="preserve"> </v>
      </c>
      <c r="F178">
        <f t="shared" si="25"/>
        <v>899.97</v>
      </c>
      <c r="G178" t="str">
        <f t="shared" si="29"/>
        <v xml:space="preserve"> </v>
      </c>
      <c r="H178" t="str">
        <f t="shared" si="30"/>
        <v/>
      </c>
      <c r="I178" t="str">
        <f t="shared" si="31"/>
        <v/>
      </c>
      <c r="K178">
        <f>Table1[[#This Row],[Quantity]]</f>
        <v>4</v>
      </c>
      <c r="L178" t="str">
        <f>Table1[[#This Row],[Category]]</f>
        <v>Electronics</v>
      </c>
      <c r="M178" t="str">
        <f>Table1[[#This Row],[Product_Name]]</f>
        <v>Laptop</v>
      </c>
      <c r="N178" t="str">
        <f t="shared" si="28"/>
        <v>no</v>
      </c>
      <c r="O178" t="str">
        <f t="shared" si="26"/>
        <v>no</v>
      </c>
      <c r="P178" t="str">
        <f t="shared" si="27"/>
        <v>no</v>
      </c>
    </row>
    <row r="179" spans="1:16" x14ac:dyDescent="0.3">
      <c r="A179" s="8" t="s">
        <v>32</v>
      </c>
      <c r="B179" s="7" t="s">
        <v>48</v>
      </c>
      <c r="C179" s="14">
        <v>899.97</v>
      </c>
      <c r="D179" t="str">
        <f t="shared" si="23"/>
        <v xml:space="preserve"> </v>
      </c>
      <c r="E179" t="str">
        <f t="shared" si="24"/>
        <v xml:space="preserve"> </v>
      </c>
      <c r="F179">
        <f t="shared" si="25"/>
        <v>899.97</v>
      </c>
      <c r="G179" t="str">
        <f t="shared" si="29"/>
        <v xml:space="preserve"> </v>
      </c>
      <c r="H179" t="str">
        <f t="shared" si="30"/>
        <v/>
      </c>
      <c r="I179" t="str">
        <f t="shared" si="31"/>
        <v/>
      </c>
      <c r="K179">
        <f>Table1[[#This Row],[Quantity]]</f>
        <v>4</v>
      </c>
      <c r="L179" t="str">
        <f>Table1[[#This Row],[Category]]</f>
        <v>Furniture</v>
      </c>
      <c r="M179" t="str">
        <f>Table1[[#This Row],[Product_Name]]</f>
        <v>Office Chair</v>
      </c>
      <c r="N179" t="str">
        <f t="shared" si="28"/>
        <v>no</v>
      </c>
      <c r="O179" t="str">
        <f t="shared" si="26"/>
        <v>no</v>
      </c>
      <c r="P179" t="str">
        <f t="shared" si="27"/>
        <v>no</v>
      </c>
    </row>
    <row r="180" spans="1:16" x14ac:dyDescent="0.3">
      <c r="A180" s="7" t="s">
        <v>45</v>
      </c>
      <c r="B180" s="7" t="s">
        <v>48</v>
      </c>
      <c r="C180" s="14">
        <v>899.97</v>
      </c>
      <c r="D180" t="str">
        <f t="shared" si="23"/>
        <v xml:space="preserve"> </v>
      </c>
      <c r="E180" t="str">
        <f t="shared" si="24"/>
        <v xml:space="preserve"> </v>
      </c>
      <c r="F180">
        <f t="shared" si="25"/>
        <v>899.97</v>
      </c>
      <c r="G180" t="str">
        <f t="shared" si="29"/>
        <v xml:space="preserve"> </v>
      </c>
      <c r="H180" t="str">
        <f t="shared" si="30"/>
        <v/>
      </c>
      <c r="I180" t="str">
        <f t="shared" si="31"/>
        <v/>
      </c>
      <c r="K180">
        <f>Table1[[#This Row],[Quantity]]</f>
        <v>4</v>
      </c>
      <c r="L180" t="str">
        <f>Table1[[#This Row],[Category]]</f>
        <v>Furniture</v>
      </c>
      <c r="M180" t="str">
        <f>Table1[[#This Row],[Product_Name]]</f>
        <v>Office Chair</v>
      </c>
      <c r="N180" t="str">
        <f t="shared" si="28"/>
        <v>no</v>
      </c>
      <c r="O180" t="str">
        <f t="shared" si="26"/>
        <v>no</v>
      </c>
      <c r="P180" t="str">
        <f t="shared" si="27"/>
        <v>no</v>
      </c>
    </row>
    <row r="181" spans="1:16" x14ac:dyDescent="0.3">
      <c r="A181" s="8" t="s">
        <v>123</v>
      </c>
      <c r="B181" s="7" t="s">
        <v>21</v>
      </c>
      <c r="C181" s="14">
        <v>899.99</v>
      </c>
      <c r="D181">
        <f t="shared" si="23"/>
        <v>899.99</v>
      </c>
      <c r="E181" t="str">
        <f t="shared" si="24"/>
        <v xml:space="preserve"> </v>
      </c>
      <c r="F181" t="str">
        <f t="shared" si="25"/>
        <v/>
      </c>
      <c r="G181" t="str">
        <f t="shared" si="29"/>
        <v xml:space="preserve"> </v>
      </c>
      <c r="H181" t="str">
        <f t="shared" si="30"/>
        <v/>
      </c>
      <c r="I181" t="str">
        <f t="shared" si="31"/>
        <v/>
      </c>
      <c r="K181">
        <f>Table1[[#This Row],[Quantity]]</f>
        <v>4</v>
      </c>
      <c r="L181" t="str">
        <f>Table1[[#This Row],[Category]]</f>
        <v>Furniture</v>
      </c>
      <c r="M181" t="str">
        <f>Table1[[#This Row],[Product_Name]]</f>
        <v>Desk</v>
      </c>
      <c r="N181" t="str">
        <f t="shared" si="28"/>
        <v>no</v>
      </c>
      <c r="O181" t="str">
        <f t="shared" si="26"/>
        <v>no</v>
      </c>
      <c r="P181" t="str">
        <f t="shared" si="27"/>
        <v>no</v>
      </c>
    </row>
    <row r="182" spans="1:16" x14ac:dyDescent="0.3">
      <c r="A182" s="7" t="s">
        <v>62</v>
      </c>
      <c r="B182" s="7" t="s">
        <v>21</v>
      </c>
      <c r="C182" s="14">
        <v>899.99</v>
      </c>
      <c r="D182">
        <f t="shared" si="23"/>
        <v>899.99</v>
      </c>
      <c r="E182" t="str">
        <f t="shared" si="24"/>
        <v xml:space="preserve"> </v>
      </c>
      <c r="F182" t="str">
        <f t="shared" si="25"/>
        <v/>
      </c>
      <c r="G182" t="str">
        <f t="shared" si="29"/>
        <v xml:space="preserve"> </v>
      </c>
      <c r="H182" t="str">
        <f t="shared" si="30"/>
        <v/>
      </c>
      <c r="I182" t="str">
        <f t="shared" si="31"/>
        <v/>
      </c>
      <c r="K182">
        <f>Table1[[#This Row],[Quantity]]</f>
        <v>4</v>
      </c>
      <c r="L182" t="str">
        <f>Table1[[#This Row],[Category]]</f>
        <v>Furniture</v>
      </c>
      <c r="M182" t="str">
        <f>Table1[[#This Row],[Product_Name]]</f>
        <v>Office Chair</v>
      </c>
      <c r="N182" t="str">
        <f t="shared" si="28"/>
        <v>no</v>
      </c>
      <c r="O182" t="str">
        <f t="shared" si="26"/>
        <v>no</v>
      </c>
      <c r="P182" t="str">
        <f t="shared" si="27"/>
        <v>no</v>
      </c>
    </row>
    <row r="183" spans="1:16" x14ac:dyDescent="0.3">
      <c r="A183" s="8" t="s">
        <v>111</v>
      </c>
      <c r="B183" s="7" t="s">
        <v>21</v>
      </c>
      <c r="C183" s="14">
        <v>899.99</v>
      </c>
      <c r="D183">
        <f t="shared" si="23"/>
        <v>899.99</v>
      </c>
      <c r="E183" t="str">
        <f t="shared" si="24"/>
        <v xml:space="preserve"> </v>
      </c>
      <c r="F183" t="str">
        <f t="shared" si="25"/>
        <v/>
      </c>
      <c r="G183" t="str">
        <f t="shared" si="29"/>
        <v xml:space="preserve"> </v>
      </c>
      <c r="H183" t="str">
        <f t="shared" si="30"/>
        <v/>
      </c>
      <c r="I183" t="str">
        <f t="shared" si="31"/>
        <v/>
      </c>
      <c r="K183">
        <f>Table1[[#This Row],[Quantity]]</f>
        <v>4</v>
      </c>
      <c r="L183" t="str">
        <f>Table1[[#This Row],[Category]]</f>
        <v>Electronics</v>
      </c>
      <c r="M183" t="str">
        <f>Table1[[#This Row],[Product_Name]]</f>
        <v>Monitor</v>
      </c>
      <c r="N183" t="str">
        <f t="shared" si="28"/>
        <v>no</v>
      </c>
      <c r="O183" t="str">
        <f t="shared" si="26"/>
        <v>no</v>
      </c>
      <c r="P183" t="str">
        <f t="shared" si="27"/>
        <v>no</v>
      </c>
    </row>
    <row r="184" spans="1:16" x14ac:dyDescent="0.3">
      <c r="A184" s="7" t="s">
        <v>89</v>
      </c>
      <c r="B184" s="7" t="s">
        <v>21</v>
      </c>
      <c r="C184" s="14">
        <v>899.99</v>
      </c>
      <c r="D184">
        <f t="shared" si="23"/>
        <v>899.99</v>
      </c>
      <c r="E184" t="str">
        <f t="shared" si="24"/>
        <v xml:space="preserve"> </v>
      </c>
      <c r="F184" t="str">
        <f t="shared" si="25"/>
        <v/>
      </c>
      <c r="G184" t="str">
        <f t="shared" si="29"/>
        <v xml:space="preserve"> </v>
      </c>
      <c r="H184" t="str">
        <f t="shared" si="30"/>
        <v/>
      </c>
      <c r="I184" t="str">
        <f t="shared" si="31"/>
        <v/>
      </c>
      <c r="K184">
        <f>Table1[[#This Row],[Quantity]]</f>
        <v>4</v>
      </c>
      <c r="L184" t="str">
        <f>Table1[[#This Row],[Category]]</f>
        <v>Electronics</v>
      </c>
      <c r="M184" t="str">
        <f>Table1[[#This Row],[Product_Name]]</f>
        <v>Laptop</v>
      </c>
      <c r="N184" t="str">
        <f t="shared" si="28"/>
        <v>no</v>
      </c>
      <c r="O184" t="str">
        <f t="shared" si="26"/>
        <v>no</v>
      </c>
      <c r="P184" t="str">
        <f t="shared" si="27"/>
        <v>no</v>
      </c>
    </row>
    <row r="185" spans="1:16" x14ac:dyDescent="0.3">
      <c r="A185" s="8" t="s">
        <v>150</v>
      </c>
      <c r="B185" s="7" t="s">
        <v>21</v>
      </c>
      <c r="C185" s="14">
        <v>899.99</v>
      </c>
      <c r="D185">
        <f t="shared" si="23"/>
        <v>899.99</v>
      </c>
      <c r="E185" t="str">
        <f t="shared" si="24"/>
        <v xml:space="preserve"> </v>
      </c>
      <c r="F185" t="str">
        <f t="shared" si="25"/>
        <v/>
      </c>
      <c r="G185" t="str">
        <f t="shared" si="29"/>
        <v xml:space="preserve"> </v>
      </c>
      <c r="H185" t="str">
        <f t="shared" si="30"/>
        <v/>
      </c>
      <c r="I185" t="str">
        <f t="shared" si="31"/>
        <v/>
      </c>
      <c r="K185">
        <f>Table1[[#This Row],[Quantity]]</f>
        <v>4</v>
      </c>
      <c r="L185" t="str">
        <f>Table1[[#This Row],[Category]]</f>
        <v>Electronics</v>
      </c>
      <c r="M185" t="str">
        <f>Table1[[#This Row],[Product_Name]]</f>
        <v>Headphones</v>
      </c>
      <c r="N185" t="str">
        <f t="shared" si="28"/>
        <v>no</v>
      </c>
      <c r="O185" t="str">
        <f t="shared" si="26"/>
        <v>no</v>
      </c>
      <c r="P185" t="str">
        <f t="shared" si="27"/>
        <v>no</v>
      </c>
    </row>
    <row r="186" spans="1:16" x14ac:dyDescent="0.3">
      <c r="A186" s="7" t="s">
        <v>328</v>
      </c>
      <c r="B186" s="7" t="s">
        <v>21</v>
      </c>
      <c r="C186" s="14">
        <v>899.99</v>
      </c>
      <c r="D186">
        <f t="shared" si="23"/>
        <v>899.99</v>
      </c>
      <c r="E186" t="str">
        <f t="shared" si="24"/>
        <v xml:space="preserve"> </v>
      </c>
      <c r="F186" t="str">
        <f t="shared" si="25"/>
        <v/>
      </c>
      <c r="G186" t="str">
        <f t="shared" si="29"/>
        <v xml:space="preserve"> </v>
      </c>
      <c r="H186" t="str">
        <f t="shared" si="30"/>
        <v/>
      </c>
      <c r="I186" t="str">
        <f t="shared" si="31"/>
        <v/>
      </c>
      <c r="K186">
        <f>Table1[[#This Row],[Quantity]]</f>
        <v>4</v>
      </c>
      <c r="L186" t="str">
        <f>Table1[[#This Row],[Category]]</f>
        <v>Electronics</v>
      </c>
      <c r="M186" t="str">
        <f>Table1[[#This Row],[Product_Name]]</f>
        <v>Headphones</v>
      </c>
      <c r="N186" t="str">
        <f t="shared" si="28"/>
        <v>no</v>
      </c>
      <c r="O186" t="str">
        <f t="shared" si="26"/>
        <v>no</v>
      </c>
      <c r="P186" t="str">
        <f t="shared" si="27"/>
        <v>no</v>
      </c>
    </row>
    <row r="187" spans="1:16" x14ac:dyDescent="0.3">
      <c r="A187" s="8" t="s">
        <v>132</v>
      </c>
      <c r="B187" s="8" t="s">
        <v>48</v>
      </c>
      <c r="C187" s="15">
        <v>999.95</v>
      </c>
      <c r="D187" t="str">
        <f t="shared" si="23"/>
        <v xml:space="preserve"> </v>
      </c>
      <c r="E187" t="str">
        <f t="shared" si="24"/>
        <v xml:space="preserve"> </v>
      </c>
      <c r="F187">
        <f t="shared" si="25"/>
        <v>999.95</v>
      </c>
      <c r="G187" t="str">
        <f t="shared" si="29"/>
        <v xml:space="preserve"> </v>
      </c>
      <c r="H187" t="str">
        <f t="shared" si="30"/>
        <v/>
      </c>
      <c r="I187" t="str">
        <f t="shared" si="31"/>
        <v/>
      </c>
      <c r="K187">
        <f>Table1[[#This Row],[Quantity]]</f>
        <v>4</v>
      </c>
      <c r="L187" t="str">
        <f>Table1[[#This Row],[Category]]</f>
        <v>Furniture</v>
      </c>
      <c r="M187" t="str">
        <f>Table1[[#This Row],[Product_Name]]</f>
        <v>Office Chair</v>
      </c>
      <c r="N187" t="str">
        <f t="shared" si="28"/>
        <v>no</v>
      </c>
      <c r="O187" t="str">
        <f t="shared" si="26"/>
        <v>no</v>
      </c>
      <c r="P187" t="str">
        <f t="shared" si="27"/>
        <v>no</v>
      </c>
    </row>
    <row r="188" spans="1:16" x14ac:dyDescent="0.3">
      <c r="A188" s="7" t="s">
        <v>45</v>
      </c>
      <c r="B188" s="7" t="s">
        <v>48</v>
      </c>
      <c r="C188" s="14">
        <v>999.95</v>
      </c>
      <c r="D188" t="str">
        <f t="shared" si="23"/>
        <v xml:space="preserve"> </v>
      </c>
      <c r="E188" t="str">
        <f t="shared" si="24"/>
        <v xml:space="preserve"> </v>
      </c>
      <c r="F188">
        <f t="shared" si="25"/>
        <v>999.95</v>
      </c>
      <c r="G188" t="str">
        <f t="shared" si="29"/>
        <v xml:space="preserve"> </v>
      </c>
      <c r="H188" t="str">
        <f t="shared" si="30"/>
        <v/>
      </c>
      <c r="I188" t="str">
        <f t="shared" si="31"/>
        <v/>
      </c>
      <c r="K188">
        <f>Table1[[#This Row],[Quantity]]</f>
        <v>4</v>
      </c>
      <c r="L188" t="str">
        <f>Table1[[#This Row],[Category]]</f>
        <v>Electronics</v>
      </c>
      <c r="M188" t="str">
        <f>Table1[[#This Row],[Product_Name]]</f>
        <v>Smartphone</v>
      </c>
      <c r="N188" t="str">
        <f t="shared" si="28"/>
        <v>no</v>
      </c>
      <c r="O188" t="str">
        <f t="shared" si="26"/>
        <v>no</v>
      </c>
      <c r="P188" t="str">
        <f t="shared" si="27"/>
        <v>no</v>
      </c>
    </row>
    <row r="189" spans="1:16" x14ac:dyDescent="0.3">
      <c r="A189" s="8" t="s">
        <v>68</v>
      </c>
      <c r="B189" s="7" t="s">
        <v>48</v>
      </c>
      <c r="C189" s="14">
        <v>999.95</v>
      </c>
      <c r="D189" t="str">
        <f t="shared" si="23"/>
        <v xml:space="preserve"> </v>
      </c>
      <c r="E189" t="str">
        <f t="shared" si="24"/>
        <v xml:space="preserve"> </v>
      </c>
      <c r="F189">
        <f t="shared" si="25"/>
        <v>999.95</v>
      </c>
      <c r="G189" t="str">
        <f t="shared" si="29"/>
        <v xml:space="preserve"> </v>
      </c>
      <c r="H189" t="str">
        <f t="shared" si="30"/>
        <v/>
      </c>
      <c r="I189" t="str">
        <f t="shared" si="31"/>
        <v/>
      </c>
      <c r="K189">
        <f>Table1[[#This Row],[Quantity]]</f>
        <v>4</v>
      </c>
      <c r="L189" t="str">
        <f>Table1[[#This Row],[Category]]</f>
        <v>Furniture</v>
      </c>
      <c r="M189" t="str">
        <f>Table1[[#This Row],[Product_Name]]</f>
        <v>Office Chair</v>
      </c>
      <c r="N189" t="str">
        <f t="shared" si="28"/>
        <v>no</v>
      </c>
      <c r="O189" t="str">
        <f t="shared" si="26"/>
        <v>no</v>
      </c>
      <c r="P189" t="str">
        <f t="shared" si="27"/>
        <v>no</v>
      </c>
    </row>
    <row r="190" spans="1:16" x14ac:dyDescent="0.3">
      <c r="A190" s="7" t="s">
        <v>111</v>
      </c>
      <c r="B190" s="8" t="s">
        <v>21</v>
      </c>
      <c r="C190" s="15">
        <v>999.96</v>
      </c>
      <c r="D190">
        <f t="shared" si="23"/>
        <v>999.96</v>
      </c>
      <c r="E190" t="str">
        <f t="shared" si="24"/>
        <v xml:space="preserve"> </v>
      </c>
      <c r="F190" t="str">
        <f t="shared" si="25"/>
        <v/>
      </c>
      <c r="G190" t="str">
        <f t="shared" si="29"/>
        <v xml:space="preserve"> </v>
      </c>
      <c r="H190" t="str">
        <f t="shared" si="30"/>
        <v/>
      </c>
      <c r="I190" t="str">
        <f t="shared" si="31"/>
        <v/>
      </c>
      <c r="K190">
        <f>Table1[[#This Row],[Quantity]]</f>
        <v>4</v>
      </c>
      <c r="L190" t="str">
        <f>Table1[[#This Row],[Category]]</f>
        <v>Electronics</v>
      </c>
      <c r="M190" t="str">
        <f>Table1[[#This Row],[Product_Name]]</f>
        <v>Headphones</v>
      </c>
      <c r="N190" t="str">
        <f t="shared" si="28"/>
        <v>no</v>
      </c>
      <c r="O190" t="str">
        <f t="shared" si="26"/>
        <v>no</v>
      </c>
      <c r="P190" t="str">
        <f t="shared" si="27"/>
        <v>no</v>
      </c>
    </row>
    <row r="191" spans="1:16" x14ac:dyDescent="0.3">
      <c r="A191" s="8" t="s">
        <v>96</v>
      </c>
      <c r="B191" s="8" t="s">
        <v>21</v>
      </c>
      <c r="C191" s="15">
        <v>999.96</v>
      </c>
      <c r="D191">
        <f t="shared" si="23"/>
        <v>999.96</v>
      </c>
      <c r="E191" t="str">
        <f t="shared" si="24"/>
        <v xml:space="preserve"> </v>
      </c>
      <c r="F191" t="str">
        <f t="shared" si="25"/>
        <v/>
      </c>
      <c r="G191" t="str">
        <f t="shared" si="29"/>
        <v xml:space="preserve"> </v>
      </c>
      <c r="H191" t="str">
        <f t="shared" si="30"/>
        <v/>
      </c>
      <c r="I191" t="str">
        <f t="shared" si="31"/>
        <v/>
      </c>
      <c r="K191">
        <f>Table1[[#This Row],[Quantity]]</f>
        <v>4</v>
      </c>
      <c r="L191" t="str">
        <f>Table1[[#This Row],[Category]]</f>
        <v>Electronics</v>
      </c>
      <c r="M191" t="str">
        <f>Table1[[#This Row],[Product_Name]]</f>
        <v>Smartphone</v>
      </c>
      <c r="N191" t="str">
        <f t="shared" si="28"/>
        <v>no</v>
      </c>
      <c r="O191" t="str">
        <f t="shared" si="26"/>
        <v>no</v>
      </c>
      <c r="P191" t="str">
        <f t="shared" si="27"/>
        <v>no</v>
      </c>
    </row>
    <row r="192" spans="1:16" x14ac:dyDescent="0.3">
      <c r="A192" s="7" t="s">
        <v>141</v>
      </c>
      <c r="B192" s="7" t="s">
        <v>21</v>
      </c>
      <c r="C192" s="14">
        <v>999.96</v>
      </c>
      <c r="D192">
        <f t="shared" si="23"/>
        <v>999.96</v>
      </c>
      <c r="E192" t="str">
        <f t="shared" si="24"/>
        <v xml:space="preserve"> </v>
      </c>
      <c r="F192" t="str">
        <f t="shared" si="25"/>
        <v/>
      </c>
      <c r="G192" t="str">
        <f t="shared" si="29"/>
        <v xml:space="preserve"> </v>
      </c>
      <c r="H192" t="str">
        <f t="shared" si="30"/>
        <v/>
      </c>
      <c r="I192" t="str">
        <f t="shared" si="31"/>
        <v/>
      </c>
      <c r="K192">
        <f>Table1[[#This Row],[Quantity]]</f>
        <v>4</v>
      </c>
      <c r="L192" t="str">
        <f>Table1[[#This Row],[Category]]</f>
        <v>Furniture</v>
      </c>
      <c r="M192" t="str">
        <f>Table1[[#This Row],[Product_Name]]</f>
        <v>Bookshelf</v>
      </c>
      <c r="N192" t="str">
        <f t="shared" si="28"/>
        <v>no</v>
      </c>
      <c r="O192" t="str">
        <f t="shared" si="26"/>
        <v>no</v>
      </c>
      <c r="P192" t="str">
        <f t="shared" si="27"/>
        <v>no</v>
      </c>
    </row>
    <row r="193" spans="1:16" x14ac:dyDescent="0.3">
      <c r="A193" s="8" t="s">
        <v>81</v>
      </c>
      <c r="B193" s="7" t="s">
        <v>21</v>
      </c>
      <c r="C193" s="14">
        <v>999.96</v>
      </c>
      <c r="D193">
        <f t="shared" si="23"/>
        <v>999.96</v>
      </c>
      <c r="E193" t="str">
        <f t="shared" si="24"/>
        <v xml:space="preserve"> </v>
      </c>
      <c r="F193" t="str">
        <f t="shared" si="25"/>
        <v/>
      </c>
      <c r="G193" t="str">
        <f t="shared" si="29"/>
        <v xml:space="preserve"> </v>
      </c>
      <c r="H193" t="str">
        <f t="shared" si="30"/>
        <v/>
      </c>
      <c r="I193" t="str">
        <f t="shared" si="31"/>
        <v/>
      </c>
      <c r="K193">
        <f>Table1[[#This Row],[Quantity]]</f>
        <v>4</v>
      </c>
      <c r="L193" t="str">
        <f>Table1[[#This Row],[Category]]</f>
        <v>Furniture</v>
      </c>
      <c r="M193" t="str">
        <f>Table1[[#This Row],[Product_Name]]</f>
        <v>Bookshelf</v>
      </c>
      <c r="N193" t="str">
        <f t="shared" si="28"/>
        <v>no</v>
      </c>
      <c r="O193" t="str">
        <f t="shared" si="26"/>
        <v>no</v>
      </c>
      <c r="P193" t="str">
        <f t="shared" si="27"/>
        <v>no</v>
      </c>
    </row>
    <row r="194" spans="1:16" x14ac:dyDescent="0.3">
      <c r="A194" s="7" t="s">
        <v>296</v>
      </c>
      <c r="B194" s="7" t="s">
        <v>21</v>
      </c>
      <c r="C194" s="14">
        <v>999.96</v>
      </c>
      <c r="D194">
        <f t="shared" si="23"/>
        <v>999.96</v>
      </c>
      <c r="E194" t="str">
        <f t="shared" si="24"/>
        <v xml:space="preserve"> </v>
      </c>
      <c r="F194" t="str">
        <f t="shared" si="25"/>
        <v/>
      </c>
      <c r="G194" t="str">
        <f t="shared" si="29"/>
        <v xml:space="preserve"> </v>
      </c>
      <c r="H194" t="str">
        <f t="shared" si="30"/>
        <v/>
      </c>
      <c r="I194" t="str">
        <f t="shared" si="31"/>
        <v/>
      </c>
      <c r="K194">
        <f>Table1[[#This Row],[Quantity]]</f>
        <v>4</v>
      </c>
      <c r="L194" t="str">
        <f>Table1[[#This Row],[Category]]</f>
        <v>Electronics</v>
      </c>
      <c r="M194" t="str">
        <f>Table1[[#This Row],[Product_Name]]</f>
        <v>Monitor</v>
      </c>
      <c r="N194" t="str">
        <f t="shared" si="28"/>
        <v>no</v>
      </c>
      <c r="O194" t="str">
        <f t="shared" si="26"/>
        <v>no</v>
      </c>
      <c r="P194" t="str">
        <f t="shared" si="27"/>
        <v>no</v>
      </c>
    </row>
    <row r="195" spans="1:16" x14ac:dyDescent="0.3">
      <c r="A195" s="8" t="s">
        <v>89</v>
      </c>
      <c r="B195" s="7" t="s">
        <v>21</v>
      </c>
      <c r="C195" s="14">
        <v>999.96</v>
      </c>
      <c r="D195">
        <f t="shared" si="23"/>
        <v>999.96</v>
      </c>
      <c r="E195" t="str">
        <f t="shared" si="24"/>
        <v xml:space="preserve"> </v>
      </c>
      <c r="F195" t="str">
        <f t="shared" si="25"/>
        <v/>
      </c>
      <c r="G195" t="str">
        <f t="shared" si="29"/>
        <v xml:space="preserve"> </v>
      </c>
      <c r="H195" t="str">
        <f t="shared" si="30"/>
        <v/>
      </c>
      <c r="I195" t="str">
        <f t="shared" si="31"/>
        <v/>
      </c>
      <c r="K195">
        <f>Table1[[#This Row],[Quantity]]</f>
        <v>4</v>
      </c>
      <c r="L195" t="str">
        <f>Table1[[#This Row],[Category]]</f>
        <v>Furniture</v>
      </c>
      <c r="M195" t="str">
        <f>Table1[[#This Row],[Product_Name]]</f>
        <v>Bookshelf</v>
      </c>
      <c r="N195" t="str">
        <f t="shared" si="28"/>
        <v>no</v>
      </c>
      <c r="O195" t="str">
        <f t="shared" si="26"/>
        <v>no</v>
      </c>
      <c r="P195" t="str">
        <f t="shared" si="27"/>
        <v>no</v>
      </c>
    </row>
    <row r="196" spans="1:16" x14ac:dyDescent="0.3">
      <c r="A196" s="7" t="s">
        <v>161</v>
      </c>
      <c r="B196" s="7" t="s">
        <v>48</v>
      </c>
      <c r="C196" s="14">
        <v>1199.96</v>
      </c>
      <c r="D196" t="str">
        <f t="shared" si="23"/>
        <v xml:space="preserve"> </v>
      </c>
      <c r="E196" t="str">
        <f t="shared" si="24"/>
        <v xml:space="preserve"> </v>
      </c>
      <c r="F196">
        <f t="shared" si="25"/>
        <v>1199.96</v>
      </c>
      <c r="G196" t="str">
        <f t="shared" si="29"/>
        <v xml:space="preserve"> </v>
      </c>
      <c r="H196" t="str">
        <f t="shared" si="30"/>
        <v/>
      </c>
      <c r="I196" t="str">
        <f t="shared" si="31"/>
        <v/>
      </c>
      <c r="K196">
        <f>Table1[[#This Row],[Quantity]]</f>
        <v>4</v>
      </c>
      <c r="L196" t="str">
        <f>Table1[[#This Row],[Category]]</f>
        <v>Electronics</v>
      </c>
      <c r="M196" t="str">
        <f>Table1[[#This Row],[Product_Name]]</f>
        <v>Monitor</v>
      </c>
      <c r="N196" t="str">
        <f t="shared" si="28"/>
        <v>no</v>
      </c>
      <c r="O196" t="str">
        <f t="shared" si="26"/>
        <v>no</v>
      </c>
      <c r="P196" t="str">
        <f t="shared" si="27"/>
        <v>no</v>
      </c>
    </row>
    <row r="197" spans="1:16" x14ac:dyDescent="0.3">
      <c r="A197" s="8" t="s">
        <v>123</v>
      </c>
      <c r="B197" s="8" t="s">
        <v>48</v>
      </c>
      <c r="C197" s="15">
        <v>1199.96</v>
      </c>
      <c r="D197" t="str">
        <f t="shared" si="23"/>
        <v xml:space="preserve"> </v>
      </c>
      <c r="E197" t="str">
        <f t="shared" si="24"/>
        <v xml:space="preserve"> </v>
      </c>
      <c r="F197">
        <f t="shared" si="25"/>
        <v>1199.96</v>
      </c>
      <c r="G197" t="str">
        <f t="shared" si="29"/>
        <v xml:space="preserve"> </v>
      </c>
      <c r="H197" t="str">
        <f t="shared" si="30"/>
        <v/>
      </c>
      <c r="I197" t="str">
        <f t="shared" si="31"/>
        <v/>
      </c>
      <c r="K197">
        <f>Table1[[#This Row],[Quantity]]</f>
        <v>4</v>
      </c>
      <c r="L197" t="str">
        <f>Table1[[#This Row],[Category]]</f>
        <v>Electronics</v>
      </c>
      <c r="M197" t="str">
        <f>Table1[[#This Row],[Product_Name]]</f>
        <v>Smartphone</v>
      </c>
      <c r="N197" t="str">
        <f t="shared" si="28"/>
        <v>no</v>
      </c>
      <c r="O197" t="str">
        <f t="shared" si="26"/>
        <v>no</v>
      </c>
      <c r="P197" t="str">
        <f t="shared" si="27"/>
        <v>no</v>
      </c>
    </row>
    <row r="198" spans="1:16" x14ac:dyDescent="0.3">
      <c r="A198" s="7" t="s">
        <v>237</v>
      </c>
      <c r="B198" s="8" t="s">
        <v>21</v>
      </c>
      <c r="C198" s="15">
        <v>1249.95</v>
      </c>
      <c r="D198">
        <f t="shared" si="23"/>
        <v>1249.95</v>
      </c>
      <c r="E198" t="str">
        <f t="shared" si="24"/>
        <v xml:space="preserve"> </v>
      </c>
      <c r="F198" t="str">
        <f t="shared" si="25"/>
        <v/>
      </c>
      <c r="G198" t="str">
        <f t="shared" si="29"/>
        <v xml:space="preserve"> </v>
      </c>
      <c r="H198" t="str">
        <f t="shared" si="30"/>
        <v/>
      </c>
      <c r="I198" t="str">
        <f t="shared" si="31"/>
        <v/>
      </c>
      <c r="K198">
        <f>Table1[[#This Row],[Quantity]]</f>
        <v>4</v>
      </c>
      <c r="L198" t="str">
        <f>Table1[[#This Row],[Category]]</f>
        <v>Electronics</v>
      </c>
      <c r="M198" t="str">
        <f>Table1[[#This Row],[Product_Name]]</f>
        <v>Headphones</v>
      </c>
      <c r="N198" t="str">
        <f t="shared" si="28"/>
        <v>no</v>
      </c>
      <c r="O198" t="str">
        <f t="shared" si="26"/>
        <v>no</v>
      </c>
      <c r="P198" t="str">
        <f t="shared" si="27"/>
        <v>no</v>
      </c>
    </row>
    <row r="199" spans="1:16" x14ac:dyDescent="0.3">
      <c r="A199" s="8" t="s">
        <v>229</v>
      </c>
      <c r="B199" s="7" t="s">
        <v>21</v>
      </c>
      <c r="C199" s="14">
        <v>1249.95</v>
      </c>
      <c r="D199">
        <f t="shared" si="23"/>
        <v>1249.95</v>
      </c>
      <c r="E199" t="str">
        <f t="shared" si="24"/>
        <v xml:space="preserve"> </v>
      </c>
      <c r="F199" t="str">
        <f t="shared" si="25"/>
        <v/>
      </c>
      <c r="G199" t="str">
        <f t="shared" si="29"/>
        <v xml:space="preserve"> </v>
      </c>
      <c r="H199" t="str">
        <f t="shared" si="30"/>
        <v/>
      </c>
      <c r="I199" t="str">
        <f t="shared" si="31"/>
        <v/>
      </c>
      <c r="K199">
        <f>Table1[[#This Row],[Quantity]]</f>
        <v>4</v>
      </c>
      <c r="L199" t="str">
        <f>Table1[[#This Row],[Category]]</f>
        <v>Electronics</v>
      </c>
      <c r="M199" t="str">
        <f>Table1[[#This Row],[Product_Name]]</f>
        <v>Monitor</v>
      </c>
      <c r="N199" t="str">
        <f t="shared" si="28"/>
        <v>no</v>
      </c>
      <c r="O199" t="str">
        <f t="shared" si="26"/>
        <v>no</v>
      </c>
      <c r="P199" t="str">
        <f t="shared" si="27"/>
        <v>no</v>
      </c>
    </row>
    <row r="200" spans="1:16" x14ac:dyDescent="0.3">
      <c r="A200" s="7" t="s">
        <v>214</v>
      </c>
      <c r="B200" s="8" t="s">
        <v>21</v>
      </c>
      <c r="C200" s="15">
        <v>1249.95</v>
      </c>
      <c r="D200">
        <f t="shared" ref="D200:D256" si="32">IF(B200=$A$3,C200,$G$7)</f>
        <v>1249.95</v>
      </c>
      <c r="E200" t="str">
        <f t="shared" ref="E200:E256" si="33">IF(B200=$A$4,C200,$G$7)</f>
        <v xml:space="preserve"> </v>
      </c>
      <c r="F200" t="str">
        <f t="shared" ref="F200:F256" si="34">IF(B200=$A$5,C200,$H$7)</f>
        <v/>
      </c>
      <c r="G200" t="str">
        <f t="shared" si="29"/>
        <v xml:space="preserve"> </v>
      </c>
      <c r="H200" t="str">
        <f t="shared" si="30"/>
        <v/>
      </c>
      <c r="I200" t="str">
        <f t="shared" si="31"/>
        <v/>
      </c>
      <c r="K200">
        <f>Table1[[#This Row],[Quantity]]</f>
        <v>4</v>
      </c>
      <c r="L200" t="str">
        <f>Table1[[#This Row],[Category]]</f>
        <v>Electronics</v>
      </c>
      <c r="M200" t="str">
        <f>Table1[[#This Row],[Product_Name]]</f>
        <v>Monitor</v>
      </c>
      <c r="N200" t="str">
        <f t="shared" si="28"/>
        <v>no</v>
      </c>
      <c r="O200" t="str">
        <f t="shared" si="26"/>
        <v>no</v>
      </c>
      <c r="P200" t="str">
        <f t="shared" si="27"/>
        <v>no</v>
      </c>
    </row>
    <row r="201" spans="1:16" x14ac:dyDescent="0.3">
      <c r="A201" s="8" t="s">
        <v>62</v>
      </c>
      <c r="B201" s="8" t="s">
        <v>21</v>
      </c>
      <c r="C201" s="15">
        <v>1249.95</v>
      </c>
      <c r="D201">
        <f t="shared" si="32"/>
        <v>1249.95</v>
      </c>
      <c r="E201" t="str">
        <f t="shared" si="33"/>
        <v xml:space="preserve"> </v>
      </c>
      <c r="F201" t="str">
        <f t="shared" si="34"/>
        <v/>
      </c>
      <c r="G201" t="str">
        <f t="shared" si="29"/>
        <v xml:space="preserve"> </v>
      </c>
      <c r="H201" t="str">
        <f t="shared" si="30"/>
        <v/>
      </c>
      <c r="I201" t="str">
        <f t="shared" si="31"/>
        <v/>
      </c>
      <c r="K201">
        <f>Table1[[#This Row],[Quantity]]</f>
        <v>4</v>
      </c>
      <c r="L201" t="str">
        <f>Table1[[#This Row],[Category]]</f>
        <v>Electronics</v>
      </c>
      <c r="M201" t="str">
        <f>Table1[[#This Row],[Product_Name]]</f>
        <v>Laptop</v>
      </c>
      <c r="N201" t="str">
        <f t="shared" si="28"/>
        <v>no</v>
      </c>
      <c r="O201" t="str">
        <f t="shared" ref="O201:O251" si="35">IF(AND(K201=M196,L201=$O$8),M201,"no")</f>
        <v>no</v>
      </c>
      <c r="P201" t="str">
        <f t="shared" ref="P201:P251" si="36">IF(AND(K201=$M$5,L201=$P$8),M201,"no")</f>
        <v>no</v>
      </c>
    </row>
    <row r="202" spans="1:16" x14ac:dyDescent="0.3">
      <c r="A202" s="7" t="s">
        <v>132</v>
      </c>
      <c r="B202" s="7" t="s">
        <v>21</v>
      </c>
      <c r="C202" s="14">
        <v>1249.95</v>
      </c>
      <c r="D202">
        <f t="shared" si="32"/>
        <v>1249.95</v>
      </c>
      <c r="E202" t="str">
        <f t="shared" si="33"/>
        <v xml:space="preserve"> </v>
      </c>
      <c r="F202" t="str">
        <f t="shared" si="34"/>
        <v/>
      </c>
      <c r="G202" t="str">
        <f t="shared" si="29"/>
        <v xml:space="preserve"> </v>
      </c>
      <c r="H202" t="str">
        <f t="shared" si="30"/>
        <v/>
      </c>
      <c r="I202" t="str">
        <f t="shared" si="31"/>
        <v/>
      </c>
      <c r="K202">
        <f>Table1[[#This Row],[Quantity]]</f>
        <v>4</v>
      </c>
      <c r="L202" t="str">
        <f>Table1[[#This Row],[Category]]</f>
        <v>Electronics</v>
      </c>
      <c r="M202" t="str">
        <f>Table1[[#This Row],[Product_Name]]</f>
        <v>Smartphone</v>
      </c>
      <c r="N202" t="str">
        <f t="shared" ref="N202:N251" si="37">IF(AND(K202=$M$3,L202=$L$3),M202,"no")</f>
        <v>no</v>
      </c>
      <c r="O202" t="str">
        <f t="shared" si="35"/>
        <v>no</v>
      </c>
      <c r="P202" t="str">
        <f t="shared" si="36"/>
        <v>no</v>
      </c>
    </row>
    <row r="203" spans="1:16" x14ac:dyDescent="0.3">
      <c r="A203" s="8" t="s">
        <v>71</v>
      </c>
      <c r="B203" s="8" t="s">
        <v>21</v>
      </c>
      <c r="C203" s="15">
        <v>1249.95</v>
      </c>
      <c r="D203">
        <f t="shared" si="32"/>
        <v>1249.95</v>
      </c>
      <c r="E203" t="str">
        <f t="shared" si="33"/>
        <v xml:space="preserve"> </v>
      </c>
      <c r="F203" t="str">
        <f t="shared" si="34"/>
        <v/>
      </c>
      <c r="G203" t="str">
        <f t="shared" si="29"/>
        <v xml:space="preserve"> </v>
      </c>
      <c r="H203" t="str">
        <f t="shared" si="30"/>
        <v/>
      </c>
      <c r="I203" t="str">
        <f t="shared" si="31"/>
        <v/>
      </c>
      <c r="K203">
        <f>Table1[[#This Row],[Quantity]]</f>
        <v>5</v>
      </c>
      <c r="L203" t="str">
        <f>Table1[[#This Row],[Category]]</f>
        <v>Electronics</v>
      </c>
      <c r="M203" t="str">
        <f>Table1[[#This Row],[Product_Name]]</f>
        <v>Headphones</v>
      </c>
      <c r="N203" t="str">
        <f t="shared" si="37"/>
        <v>no</v>
      </c>
      <c r="O203" t="str">
        <f t="shared" si="35"/>
        <v>no</v>
      </c>
      <c r="P203" t="str">
        <f t="shared" si="36"/>
        <v>no</v>
      </c>
    </row>
    <row r="204" spans="1:16" x14ac:dyDescent="0.3">
      <c r="A204" s="7" t="s">
        <v>51</v>
      </c>
      <c r="B204" s="8" t="s">
        <v>21</v>
      </c>
      <c r="C204" s="15">
        <v>1249.95</v>
      </c>
      <c r="D204">
        <f t="shared" si="32"/>
        <v>1249.95</v>
      </c>
      <c r="E204" t="str">
        <f t="shared" si="33"/>
        <v xml:space="preserve"> </v>
      </c>
      <c r="F204" t="str">
        <f t="shared" si="34"/>
        <v/>
      </c>
      <c r="G204" t="str">
        <f t="shared" si="29"/>
        <v xml:space="preserve"> </v>
      </c>
      <c r="H204" t="str">
        <f t="shared" si="30"/>
        <v/>
      </c>
      <c r="I204" t="str">
        <f t="shared" si="31"/>
        <v/>
      </c>
      <c r="K204">
        <f>Table1[[#This Row],[Quantity]]</f>
        <v>5</v>
      </c>
      <c r="L204" t="str">
        <f>Table1[[#This Row],[Category]]</f>
        <v>Electronics</v>
      </c>
      <c r="M204" t="str">
        <f>Table1[[#This Row],[Product_Name]]</f>
        <v>Smartphone</v>
      </c>
      <c r="N204" t="str">
        <f t="shared" si="37"/>
        <v>no</v>
      </c>
      <c r="O204" t="str">
        <f t="shared" si="35"/>
        <v>no</v>
      </c>
      <c r="P204" t="str">
        <f t="shared" si="36"/>
        <v>no</v>
      </c>
    </row>
    <row r="205" spans="1:16" x14ac:dyDescent="0.3">
      <c r="A205" s="8" t="s">
        <v>255</v>
      </c>
      <c r="B205" s="8" t="s">
        <v>21</v>
      </c>
      <c r="C205" s="15">
        <v>1249.95</v>
      </c>
      <c r="D205">
        <f t="shared" si="32"/>
        <v>1249.95</v>
      </c>
      <c r="E205" t="str">
        <f t="shared" si="33"/>
        <v xml:space="preserve"> </v>
      </c>
      <c r="F205" t="str">
        <f t="shared" si="34"/>
        <v/>
      </c>
      <c r="G205" t="str">
        <f t="shared" si="29"/>
        <v xml:space="preserve"> </v>
      </c>
      <c r="H205" t="str">
        <f t="shared" si="30"/>
        <v/>
      </c>
      <c r="I205" t="str">
        <f t="shared" si="31"/>
        <v/>
      </c>
      <c r="K205">
        <f>Table1[[#This Row],[Quantity]]</f>
        <v>5</v>
      </c>
      <c r="L205" t="str">
        <f>Table1[[#This Row],[Category]]</f>
        <v>Appliances</v>
      </c>
      <c r="M205" t="str">
        <f>Table1[[#This Row],[Product_Name]]</f>
        <v>Coffee Maker</v>
      </c>
      <c r="N205" t="str">
        <f t="shared" si="37"/>
        <v>Coffee Maker</v>
      </c>
      <c r="O205" t="str">
        <f t="shared" si="35"/>
        <v>no</v>
      </c>
      <c r="P205" t="str">
        <f t="shared" si="36"/>
        <v>no</v>
      </c>
    </row>
    <row r="206" spans="1:16" x14ac:dyDescent="0.3">
      <c r="A206" s="7" t="s">
        <v>89</v>
      </c>
      <c r="B206" s="7" t="s">
        <v>21</v>
      </c>
      <c r="C206" s="14">
        <v>1399.98</v>
      </c>
      <c r="D206">
        <f t="shared" si="32"/>
        <v>1399.98</v>
      </c>
      <c r="E206" t="str">
        <f t="shared" si="33"/>
        <v xml:space="preserve"> </v>
      </c>
      <c r="F206" t="str">
        <f t="shared" si="34"/>
        <v/>
      </c>
      <c r="G206" t="str">
        <f t="shared" si="29"/>
        <v xml:space="preserve"> </v>
      </c>
      <c r="H206" t="str">
        <f t="shared" si="30"/>
        <v/>
      </c>
      <c r="I206" t="str">
        <f t="shared" si="31"/>
        <v/>
      </c>
      <c r="K206">
        <f>Table1[[#This Row],[Quantity]]</f>
        <v>5</v>
      </c>
      <c r="L206" t="str">
        <f>Table1[[#This Row],[Category]]</f>
        <v>Appliances</v>
      </c>
      <c r="M206" t="str">
        <f>Table1[[#This Row],[Product_Name]]</f>
        <v>Blender</v>
      </c>
      <c r="N206" t="str">
        <f t="shared" si="37"/>
        <v>Blender</v>
      </c>
      <c r="O206" t="str">
        <f t="shared" si="35"/>
        <v>no</v>
      </c>
      <c r="P206" t="str">
        <f t="shared" si="36"/>
        <v>no</v>
      </c>
    </row>
    <row r="207" spans="1:16" x14ac:dyDescent="0.3">
      <c r="A207" s="8" t="s">
        <v>296</v>
      </c>
      <c r="B207" s="8" t="s">
        <v>21</v>
      </c>
      <c r="C207" s="15">
        <v>1399.98</v>
      </c>
      <c r="D207">
        <f t="shared" si="32"/>
        <v>1399.98</v>
      </c>
      <c r="E207" t="str">
        <f t="shared" si="33"/>
        <v xml:space="preserve"> </v>
      </c>
      <c r="F207" t="str">
        <f t="shared" si="34"/>
        <v/>
      </c>
      <c r="G207" t="str">
        <f t="shared" si="29"/>
        <v xml:space="preserve"> </v>
      </c>
      <c r="H207" t="str">
        <f t="shared" si="30"/>
        <v/>
      </c>
      <c r="I207" t="str">
        <f t="shared" si="31"/>
        <v/>
      </c>
      <c r="K207">
        <f>Table1[[#This Row],[Quantity]]</f>
        <v>5</v>
      </c>
      <c r="L207" t="str">
        <f>Table1[[#This Row],[Category]]</f>
        <v>Furniture</v>
      </c>
      <c r="M207" t="str">
        <f>Table1[[#This Row],[Product_Name]]</f>
        <v>Bookshelf</v>
      </c>
      <c r="N207" t="str">
        <f t="shared" si="37"/>
        <v>no</v>
      </c>
      <c r="O207" t="str">
        <f t="shared" si="35"/>
        <v>no</v>
      </c>
      <c r="P207" t="str">
        <f t="shared" si="36"/>
        <v>Bookshelf</v>
      </c>
    </row>
    <row r="208" spans="1:16" x14ac:dyDescent="0.3">
      <c r="A208" s="7" t="s">
        <v>68</v>
      </c>
      <c r="B208" s="7" t="s">
        <v>21</v>
      </c>
      <c r="C208" s="14">
        <v>1399.98</v>
      </c>
      <c r="D208">
        <f t="shared" si="32"/>
        <v>1399.98</v>
      </c>
      <c r="E208" t="str">
        <f t="shared" si="33"/>
        <v xml:space="preserve"> </v>
      </c>
      <c r="F208" t="str">
        <f t="shared" si="34"/>
        <v/>
      </c>
      <c r="G208" t="str">
        <f t="shared" si="29"/>
        <v xml:space="preserve"> </v>
      </c>
      <c r="H208" t="str">
        <f t="shared" si="30"/>
        <v/>
      </c>
      <c r="I208" t="str">
        <f t="shared" si="31"/>
        <v/>
      </c>
      <c r="K208">
        <f>Table1[[#This Row],[Quantity]]</f>
        <v>5</v>
      </c>
      <c r="L208" t="str">
        <f>Table1[[#This Row],[Category]]</f>
        <v>Appliances</v>
      </c>
      <c r="M208" t="str">
        <f>Table1[[#This Row],[Product_Name]]</f>
        <v>Blender</v>
      </c>
      <c r="N208" t="str">
        <f t="shared" si="37"/>
        <v>Blender</v>
      </c>
      <c r="O208" t="str">
        <f t="shared" si="35"/>
        <v>no</v>
      </c>
      <c r="P208" t="str">
        <f t="shared" si="36"/>
        <v>no</v>
      </c>
    </row>
    <row r="209" spans="1:16" x14ac:dyDescent="0.3">
      <c r="A209" s="8" t="s">
        <v>126</v>
      </c>
      <c r="B209" s="8" t="s">
        <v>21</v>
      </c>
      <c r="C209" s="15">
        <v>1399.98</v>
      </c>
      <c r="D209">
        <f t="shared" si="32"/>
        <v>1399.98</v>
      </c>
      <c r="E209" t="str">
        <f t="shared" si="33"/>
        <v xml:space="preserve"> </v>
      </c>
      <c r="F209" t="str">
        <f t="shared" si="34"/>
        <v/>
      </c>
      <c r="G209" t="str">
        <f t="shared" si="29"/>
        <v xml:space="preserve"> </v>
      </c>
      <c r="H209" t="str">
        <f t="shared" si="30"/>
        <v/>
      </c>
      <c r="I209" t="str">
        <f t="shared" si="31"/>
        <v/>
      </c>
      <c r="K209">
        <f>Table1[[#This Row],[Quantity]]</f>
        <v>5</v>
      </c>
      <c r="L209" t="str">
        <f>Table1[[#This Row],[Category]]</f>
        <v>Electronics</v>
      </c>
      <c r="M209" t="str">
        <f>Table1[[#This Row],[Product_Name]]</f>
        <v>Monitor</v>
      </c>
      <c r="N209" t="str">
        <f t="shared" si="37"/>
        <v>no</v>
      </c>
      <c r="O209" t="str">
        <f t="shared" si="35"/>
        <v>no</v>
      </c>
      <c r="P209" t="str">
        <f t="shared" si="36"/>
        <v>no</v>
      </c>
    </row>
    <row r="210" spans="1:16" x14ac:dyDescent="0.3">
      <c r="A210" s="7" t="s">
        <v>45</v>
      </c>
      <c r="B210" s="7" t="s">
        <v>21</v>
      </c>
      <c r="C210" s="14">
        <v>1399.98</v>
      </c>
      <c r="D210">
        <f t="shared" si="32"/>
        <v>1399.98</v>
      </c>
      <c r="E210" t="str">
        <f t="shared" si="33"/>
        <v xml:space="preserve"> </v>
      </c>
      <c r="F210" t="str">
        <f t="shared" si="34"/>
        <v/>
      </c>
      <c r="G210" t="str">
        <f t="shared" si="29"/>
        <v xml:space="preserve"> </v>
      </c>
      <c r="H210" t="str">
        <f t="shared" si="30"/>
        <v/>
      </c>
      <c r="I210" t="str">
        <f t="shared" si="31"/>
        <v/>
      </c>
      <c r="K210">
        <f>Table1[[#This Row],[Quantity]]</f>
        <v>5</v>
      </c>
      <c r="L210" t="str">
        <f>Table1[[#This Row],[Category]]</f>
        <v>Appliances</v>
      </c>
      <c r="M210" t="str">
        <f>Table1[[#This Row],[Product_Name]]</f>
        <v>Blender</v>
      </c>
      <c r="N210" t="str">
        <f t="shared" si="37"/>
        <v>Blender</v>
      </c>
      <c r="O210" t="str">
        <f t="shared" si="35"/>
        <v>no</v>
      </c>
      <c r="P210" t="str">
        <f t="shared" si="36"/>
        <v>no</v>
      </c>
    </row>
    <row r="211" spans="1:16" x14ac:dyDescent="0.3">
      <c r="A211" s="8" t="s">
        <v>328</v>
      </c>
      <c r="B211" s="7" t="s">
        <v>21</v>
      </c>
      <c r="C211" s="14">
        <v>1399.98</v>
      </c>
      <c r="D211">
        <f t="shared" si="32"/>
        <v>1399.98</v>
      </c>
      <c r="E211" t="str">
        <f t="shared" si="33"/>
        <v xml:space="preserve"> </v>
      </c>
      <c r="F211" t="str">
        <f t="shared" si="34"/>
        <v/>
      </c>
      <c r="G211" t="str">
        <f t="shared" si="29"/>
        <v xml:space="preserve"> </v>
      </c>
      <c r="H211" t="str">
        <f t="shared" si="30"/>
        <v/>
      </c>
      <c r="I211" t="str">
        <f t="shared" si="31"/>
        <v/>
      </c>
      <c r="K211">
        <f>Table1[[#This Row],[Quantity]]</f>
        <v>5</v>
      </c>
      <c r="L211" t="str">
        <f>Table1[[#This Row],[Category]]</f>
        <v>Electronics</v>
      </c>
      <c r="M211" t="str">
        <f>Table1[[#This Row],[Product_Name]]</f>
        <v>Keyboard</v>
      </c>
      <c r="N211" t="str">
        <f t="shared" si="37"/>
        <v>no</v>
      </c>
      <c r="O211" t="str">
        <f t="shared" si="35"/>
        <v>no</v>
      </c>
      <c r="P211" t="str">
        <f t="shared" si="36"/>
        <v>no</v>
      </c>
    </row>
    <row r="212" spans="1:16" x14ac:dyDescent="0.3">
      <c r="A212" s="7" t="s">
        <v>249</v>
      </c>
      <c r="B212" s="7" t="s">
        <v>21</v>
      </c>
      <c r="C212" s="14">
        <v>1399.98</v>
      </c>
      <c r="D212">
        <f t="shared" si="32"/>
        <v>1399.98</v>
      </c>
      <c r="E212" t="str">
        <f t="shared" si="33"/>
        <v xml:space="preserve"> </v>
      </c>
      <c r="F212" t="str">
        <f t="shared" si="34"/>
        <v/>
      </c>
      <c r="G212" t="str">
        <f t="shared" ref="G212:G256" si="38">IF(C212=4499.95,A212," ")</f>
        <v xml:space="preserve"> </v>
      </c>
      <c r="H212" t="str">
        <f t="shared" ref="H212:H256" si="39">IF(C212=$B$4,A212,"")</f>
        <v/>
      </c>
      <c r="I212" t="str">
        <f t="shared" ref="I212:I256" si="40">IF(C212=$B$5,A212,"")</f>
        <v/>
      </c>
      <c r="K212">
        <f>Table1[[#This Row],[Quantity]]</f>
        <v>5</v>
      </c>
      <c r="L212" t="str">
        <f>Table1[[#This Row],[Category]]</f>
        <v>Appliances</v>
      </c>
      <c r="M212" t="str">
        <f>Table1[[#This Row],[Product_Name]]</f>
        <v>Blender</v>
      </c>
      <c r="N212" t="str">
        <f t="shared" si="37"/>
        <v>Blender</v>
      </c>
      <c r="O212" t="str">
        <f t="shared" si="35"/>
        <v>no</v>
      </c>
      <c r="P212" t="str">
        <f t="shared" si="36"/>
        <v>no</v>
      </c>
    </row>
    <row r="213" spans="1:16" x14ac:dyDescent="0.3">
      <c r="A213" s="8" t="s">
        <v>96</v>
      </c>
      <c r="B213" s="7" t="s">
        <v>21</v>
      </c>
      <c r="C213" s="14">
        <v>1399.98</v>
      </c>
      <c r="D213">
        <f t="shared" si="32"/>
        <v>1399.98</v>
      </c>
      <c r="E213" t="str">
        <f t="shared" si="33"/>
        <v xml:space="preserve"> </v>
      </c>
      <c r="F213" t="str">
        <f t="shared" si="34"/>
        <v/>
      </c>
      <c r="G213" t="str">
        <f t="shared" si="38"/>
        <v xml:space="preserve"> </v>
      </c>
      <c r="H213" t="str">
        <f t="shared" si="39"/>
        <v/>
      </c>
      <c r="I213" t="str">
        <f t="shared" si="40"/>
        <v/>
      </c>
      <c r="K213">
        <f>Table1[[#This Row],[Quantity]]</f>
        <v>5</v>
      </c>
      <c r="L213" t="str">
        <f>Table1[[#This Row],[Category]]</f>
        <v>Furniture</v>
      </c>
      <c r="M213" t="str">
        <f>Table1[[#This Row],[Product_Name]]</f>
        <v>Bookshelf</v>
      </c>
      <c r="N213" t="str">
        <f t="shared" si="37"/>
        <v>no</v>
      </c>
      <c r="O213" t="str">
        <f t="shared" si="35"/>
        <v>no</v>
      </c>
      <c r="P213" t="str">
        <f t="shared" si="36"/>
        <v>Bookshelf</v>
      </c>
    </row>
    <row r="214" spans="1:16" x14ac:dyDescent="0.3">
      <c r="A214" s="7" t="s">
        <v>153</v>
      </c>
      <c r="B214" s="8" t="s">
        <v>21</v>
      </c>
      <c r="C214" s="15">
        <v>1399.98</v>
      </c>
      <c r="D214">
        <f t="shared" si="32"/>
        <v>1399.98</v>
      </c>
      <c r="E214" t="str">
        <f t="shared" si="33"/>
        <v xml:space="preserve"> </v>
      </c>
      <c r="F214" t="str">
        <f t="shared" si="34"/>
        <v/>
      </c>
      <c r="G214" t="str">
        <f t="shared" si="38"/>
        <v xml:space="preserve"> </v>
      </c>
      <c r="H214" t="str">
        <f t="shared" si="39"/>
        <v/>
      </c>
      <c r="I214" t="str">
        <f t="shared" si="40"/>
        <v/>
      </c>
      <c r="K214">
        <f>Table1[[#This Row],[Quantity]]</f>
        <v>5</v>
      </c>
      <c r="L214" t="str">
        <f>Table1[[#This Row],[Category]]</f>
        <v>Furniture</v>
      </c>
      <c r="M214" t="str">
        <f>Table1[[#This Row],[Product_Name]]</f>
        <v>Desk</v>
      </c>
      <c r="N214" t="str">
        <f t="shared" si="37"/>
        <v>no</v>
      </c>
      <c r="O214" t="str">
        <f t="shared" si="35"/>
        <v>no</v>
      </c>
      <c r="P214" t="str">
        <f t="shared" si="36"/>
        <v>Desk</v>
      </c>
    </row>
    <row r="215" spans="1:16" x14ac:dyDescent="0.3">
      <c r="A215" s="8" t="s">
        <v>111</v>
      </c>
      <c r="B215" s="7" t="s">
        <v>21</v>
      </c>
      <c r="C215" s="14">
        <v>1399.98</v>
      </c>
      <c r="D215">
        <f t="shared" si="32"/>
        <v>1399.98</v>
      </c>
      <c r="E215" t="str">
        <f t="shared" si="33"/>
        <v xml:space="preserve"> </v>
      </c>
      <c r="F215" t="str">
        <f t="shared" si="34"/>
        <v/>
      </c>
      <c r="G215" t="str">
        <f t="shared" si="38"/>
        <v xml:space="preserve"> </v>
      </c>
      <c r="H215" t="str">
        <f t="shared" si="39"/>
        <v/>
      </c>
      <c r="I215" t="str">
        <f t="shared" si="40"/>
        <v/>
      </c>
      <c r="K215">
        <f>Table1[[#This Row],[Quantity]]</f>
        <v>5</v>
      </c>
      <c r="L215" t="str">
        <f>Table1[[#This Row],[Category]]</f>
        <v>Furniture</v>
      </c>
      <c r="M215" t="str">
        <f>Table1[[#This Row],[Product_Name]]</f>
        <v>Office Chair</v>
      </c>
      <c r="N215" t="str">
        <f t="shared" si="37"/>
        <v>no</v>
      </c>
      <c r="O215" t="str">
        <f t="shared" si="35"/>
        <v>no</v>
      </c>
      <c r="P215" t="str">
        <f t="shared" si="36"/>
        <v>Office Chair</v>
      </c>
    </row>
    <row r="216" spans="1:16" x14ac:dyDescent="0.3">
      <c r="A216" s="7" t="s">
        <v>32</v>
      </c>
      <c r="B216" s="7" t="s">
        <v>48</v>
      </c>
      <c r="C216" s="14">
        <v>1499.95</v>
      </c>
      <c r="D216" t="str">
        <f t="shared" si="32"/>
        <v xml:space="preserve"> </v>
      </c>
      <c r="E216" t="str">
        <f t="shared" si="33"/>
        <v xml:space="preserve"> </v>
      </c>
      <c r="F216">
        <f t="shared" si="34"/>
        <v>1499.95</v>
      </c>
      <c r="G216" t="str">
        <f t="shared" si="38"/>
        <v xml:space="preserve"> </v>
      </c>
      <c r="H216" t="str">
        <f t="shared" si="39"/>
        <v/>
      </c>
      <c r="I216" t="str">
        <f t="shared" si="40"/>
        <v>Kevin Scott</v>
      </c>
      <c r="K216">
        <f>Table1[[#This Row],[Quantity]]</f>
        <v>5</v>
      </c>
      <c r="L216" t="str">
        <f>Table1[[#This Row],[Category]]</f>
        <v>Electronics</v>
      </c>
      <c r="M216" t="str">
        <f>Table1[[#This Row],[Product_Name]]</f>
        <v>Smartphone</v>
      </c>
      <c r="N216" t="str">
        <f t="shared" si="37"/>
        <v>no</v>
      </c>
      <c r="O216" t="str">
        <f t="shared" si="35"/>
        <v>no</v>
      </c>
      <c r="P216" t="str">
        <f t="shared" si="36"/>
        <v>no</v>
      </c>
    </row>
    <row r="217" spans="1:16" x14ac:dyDescent="0.3">
      <c r="A217" s="8" t="s">
        <v>18</v>
      </c>
      <c r="B217" s="8" t="s">
        <v>48</v>
      </c>
      <c r="C217" s="15">
        <v>1499.95</v>
      </c>
      <c r="D217" t="str">
        <f t="shared" si="32"/>
        <v xml:space="preserve"> </v>
      </c>
      <c r="E217" t="str">
        <f t="shared" si="33"/>
        <v xml:space="preserve"> </v>
      </c>
      <c r="F217">
        <f t="shared" si="34"/>
        <v>1499.95</v>
      </c>
      <c r="G217" t="str">
        <f t="shared" si="38"/>
        <v xml:space="preserve"> </v>
      </c>
      <c r="H217" t="str">
        <f t="shared" si="39"/>
        <v/>
      </c>
      <c r="I217" t="str">
        <f t="shared" si="40"/>
        <v>Paul Baker</v>
      </c>
      <c r="K217">
        <f>Table1[[#This Row],[Quantity]]</f>
        <v>5</v>
      </c>
      <c r="L217" t="str">
        <f>Table1[[#This Row],[Category]]</f>
        <v>Electronics</v>
      </c>
      <c r="M217" t="str">
        <f>Table1[[#This Row],[Product_Name]]</f>
        <v>Keyboard</v>
      </c>
      <c r="N217" t="str">
        <f t="shared" si="37"/>
        <v>no</v>
      </c>
      <c r="O217" t="str">
        <f t="shared" si="35"/>
        <v>no</v>
      </c>
      <c r="P217" t="str">
        <f t="shared" si="36"/>
        <v>no</v>
      </c>
    </row>
    <row r="218" spans="1:16" x14ac:dyDescent="0.3">
      <c r="A218" s="7" t="s">
        <v>262</v>
      </c>
      <c r="B218" s="7" t="s">
        <v>48</v>
      </c>
      <c r="C218" s="14">
        <v>1499.95</v>
      </c>
      <c r="D218" t="str">
        <f t="shared" si="32"/>
        <v xml:space="preserve"> </v>
      </c>
      <c r="E218" t="str">
        <f t="shared" si="33"/>
        <v xml:space="preserve"> </v>
      </c>
      <c r="F218">
        <f t="shared" si="34"/>
        <v>1499.95</v>
      </c>
      <c r="G218" t="str">
        <f t="shared" si="38"/>
        <v xml:space="preserve"> </v>
      </c>
      <c r="H218" t="str">
        <f t="shared" si="39"/>
        <v/>
      </c>
      <c r="I218" t="str">
        <f t="shared" si="40"/>
        <v>Richard Lee</v>
      </c>
      <c r="K218">
        <f>Table1[[#This Row],[Quantity]]</f>
        <v>5</v>
      </c>
      <c r="L218" t="str">
        <f>Table1[[#This Row],[Category]]</f>
        <v>Furniture</v>
      </c>
      <c r="M218" t="str">
        <f>Table1[[#This Row],[Product_Name]]</f>
        <v>Desk</v>
      </c>
      <c r="N218" t="str">
        <f t="shared" si="37"/>
        <v>no</v>
      </c>
      <c r="O218" t="str">
        <f t="shared" si="35"/>
        <v>no</v>
      </c>
      <c r="P218" t="str">
        <f t="shared" si="36"/>
        <v>Desk</v>
      </c>
    </row>
    <row r="219" spans="1:16" x14ac:dyDescent="0.3">
      <c r="A219" s="8" t="s">
        <v>126</v>
      </c>
      <c r="B219" s="8" t="s">
        <v>48</v>
      </c>
      <c r="C219" s="15">
        <v>1499.95</v>
      </c>
      <c r="D219" t="str">
        <f t="shared" si="32"/>
        <v xml:space="preserve"> </v>
      </c>
      <c r="E219" t="str">
        <f t="shared" si="33"/>
        <v xml:space="preserve"> </v>
      </c>
      <c r="F219">
        <f t="shared" si="34"/>
        <v>1499.95</v>
      </c>
      <c r="G219" t="str">
        <f t="shared" si="38"/>
        <v xml:space="preserve"> </v>
      </c>
      <c r="H219" t="str">
        <f t="shared" si="39"/>
        <v/>
      </c>
      <c r="I219" t="str">
        <f t="shared" si="40"/>
        <v>Edward Mitchell</v>
      </c>
      <c r="K219">
        <f>Table1[[#This Row],[Quantity]]</f>
        <v>5</v>
      </c>
      <c r="L219" t="str">
        <f>Table1[[#This Row],[Category]]</f>
        <v>Electronics</v>
      </c>
      <c r="M219" t="str">
        <f>Table1[[#This Row],[Product_Name]]</f>
        <v>Monitor</v>
      </c>
      <c r="N219" t="str">
        <f t="shared" si="37"/>
        <v>no</v>
      </c>
      <c r="O219" t="str">
        <f t="shared" si="35"/>
        <v>no</v>
      </c>
      <c r="P219" t="str">
        <f t="shared" si="36"/>
        <v>no</v>
      </c>
    </row>
    <row r="220" spans="1:16" x14ac:dyDescent="0.3">
      <c r="A220" s="7" t="s">
        <v>45</v>
      </c>
      <c r="B220" s="8" t="s">
        <v>48</v>
      </c>
      <c r="C220" s="15">
        <v>1499.95</v>
      </c>
      <c r="D220" t="str">
        <f t="shared" si="32"/>
        <v xml:space="preserve"> </v>
      </c>
      <c r="E220" t="str">
        <f t="shared" si="33"/>
        <v xml:space="preserve"> </v>
      </c>
      <c r="F220">
        <f t="shared" si="34"/>
        <v>1499.95</v>
      </c>
      <c r="G220" t="str">
        <f t="shared" si="38"/>
        <v xml:space="preserve"> </v>
      </c>
      <c r="H220" t="str">
        <f t="shared" si="39"/>
        <v/>
      </c>
      <c r="I220" t="str">
        <f t="shared" si="40"/>
        <v>Michael Brown</v>
      </c>
      <c r="K220">
        <f>Table1[[#This Row],[Quantity]]</f>
        <v>5</v>
      </c>
      <c r="L220" t="str">
        <f>Table1[[#This Row],[Category]]</f>
        <v>Electronics</v>
      </c>
      <c r="M220" t="str">
        <f>Table1[[#This Row],[Product_Name]]</f>
        <v>Keyboard</v>
      </c>
      <c r="N220" t="str">
        <f t="shared" si="37"/>
        <v>no</v>
      </c>
      <c r="O220" t="str">
        <f t="shared" si="35"/>
        <v>no</v>
      </c>
      <c r="P220" t="str">
        <f t="shared" si="36"/>
        <v>no</v>
      </c>
    </row>
    <row r="221" spans="1:16" x14ac:dyDescent="0.3">
      <c r="A221" s="8" t="s">
        <v>99</v>
      </c>
      <c r="B221" s="7" t="s">
        <v>21</v>
      </c>
      <c r="C221" s="14">
        <v>1799.98</v>
      </c>
      <c r="D221">
        <f t="shared" si="32"/>
        <v>1799.98</v>
      </c>
      <c r="E221" t="str">
        <f t="shared" si="33"/>
        <v xml:space="preserve"> </v>
      </c>
      <c r="F221" t="str">
        <f t="shared" si="34"/>
        <v/>
      </c>
      <c r="G221" t="str">
        <f t="shared" si="38"/>
        <v xml:space="preserve"> </v>
      </c>
      <c r="H221" t="str">
        <f t="shared" si="39"/>
        <v/>
      </c>
      <c r="I221" t="str">
        <f t="shared" si="40"/>
        <v/>
      </c>
      <c r="K221">
        <f>Table1[[#This Row],[Quantity]]</f>
        <v>5</v>
      </c>
      <c r="L221" t="str">
        <f>Table1[[#This Row],[Category]]</f>
        <v>Electronics</v>
      </c>
      <c r="M221" t="str">
        <f>Table1[[#This Row],[Product_Name]]</f>
        <v>Laptop</v>
      </c>
      <c r="N221" t="str">
        <f t="shared" si="37"/>
        <v>no</v>
      </c>
      <c r="O221" t="str">
        <f t="shared" si="35"/>
        <v>no</v>
      </c>
      <c r="P221" t="str">
        <f t="shared" si="36"/>
        <v>no</v>
      </c>
    </row>
    <row r="222" spans="1:16" x14ac:dyDescent="0.3">
      <c r="A222" s="7" t="s">
        <v>195</v>
      </c>
      <c r="B222" s="8" t="s">
        <v>21</v>
      </c>
      <c r="C222" s="15">
        <v>2099.9699999999998</v>
      </c>
      <c r="D222">
        <f t="shared" si="32"/>
        <v>2099.9699999999998</v>
      </c>
      <c r="E222" t="str">
        <f t="shared" si="33"/>
        <v xml:space="preserve"> </v>
      </c>
      <c r="F222" t="str">
        <f t="shared" si="34"/>
        <v/>
      </c>
      <c r="G222" t="str">
        <f t="shared" si="38"/>
        <v xml:space="preserve"> </v>
      </c>
      <c r="H222" t="str">
        <f t="shared" si="39"/>
        <v/>
      </c>
      <c r="I222" t="str">
        <f t="shared" si="40"/>
        <v/>
      </c>
      <c r="K222">
        <f>Table1[[#This Row],[Quantity]]</f>
        <v>5</v>
      </c>
      <c r="L222" t="str">
        <f>Table1[[#This Row],[Category]]</f>
        <v>Electronics</v>
      </c>
      <c r="M222" t="str">
        <f>Table1[[#This Row],[Product_Name]]</f>
        <v>Laptop</v>
      </c>
      <c r="N222" t="str">
        <f t="shared" si="37"/>
        <v>no</v>
      </c>
      <c r="O222" t="str">
        <f t="shared" si="35"/>
        <v>no</v>
      </c>
      <c r="P222" t="str">
        <f t="shared" si="36"/>
        <v>no</v>
      </c>
    </row>
    <row r="223" spans="1:16" x14ac:dyDescent="0.3">
      <c r="A223" s="8" t="s">
        <v>58</v>
      </c>
      <c r="B223" s="8" t="s">
        <v>21</v>
      </c>
      <c r="C223" s="15">
        <v>2099.9699999999998</v>
      </c>
      <c r="D223">
        <f t="shared" si="32"/>
        <v>2099.9699999999998</v>
      </c>
      <c r="E223" t="str">
        <f t="shared" si="33"/>
        <v xml:space="preserve"> </v>
      </c>
      <c r="F223" t="str">
        <f t="shared" si="34"/>
        <v/>
      </c>
      <c r="G223" t="str">
        <f t="shared" si="38"/>
        <v xml:space="preserve"> </v>
      </c>
      <c r="H223" t="str">
        <f t="shared" si="39"/>
        <v/>
      </c>
      <c r="I223" t="str">
        <f t="shared" si="40"/>
        <v/>
      </c>
      <c r="K223">
        <f>Table1[[#This Row],[Quantity]]</f>
        <v>5</v>
      </c>
      <c r="L223" t="str">
        <f>Table1[[#This Row],[Category]]</f>
        <v>Electronics</v>
      </c>
      <c r="M223" t="str">
        <f>Table1[[#This Row],[Product_Name]]</f>
        <v>Keyboard</v>
      </c>
      <c r="N223" t="str">
        <f t="shared" si="37"/>
        <v>no</v>
      </c>
      <c r="O223" t="str">
        <f t="shared" si="35"/>
        <v>no</v>
      </c>
      <c r="P223" t="str">
        <f t="shared" si="36"/>
        <v>no</v>
      </c>
    </row>
    <row r="224" spans="1:16" x14ac:dyDescent="0.3">
      <c r="A224" s="7" t="s">
        <v>153</v>
      </c>
      <c r="B224" s="8" t="s">
        <v>21</v>
      </c>
      <c r="C224" s="15">
        <v>2099.9699999999998</v>
      </c>
      <c r="D224">
        <f t="shared" si="32"/>
        <v>2099.9699999999998</v>
      </c>
      <c r="E224" t="str">
        <f t="shared" si="33"/>
        <v xml:space="preserve"> </v>
      </c>
      <c r="F224" t="str">
        <f t="shared" si="34"/>
        <v/>
      </c>
      <c r="G224" t="str">
        <f t="shared" si="38"/>
        <v xml:space="preserve"> </v>
      </c>
      <c r="H224" t="str">
        <f t="shared" si="39"/>
        <v/>
      </c>
      <c r="I224" t="str">
        <f t="shared" si="40"/>
        <v/>
      </c>
      <c r="K224">
        <f>Table1[[#This Row],[Quantity]]</f>
        <v>5</v>
      </c>
      <c r="L224" t="str">
        <f>Table1[[#This Row],[Category]]</f>
        <v>Electronics</v>
      </c>
      <c r="M224" t="str">
        <f>Table1[[#This Row],[Product_Name]]</f>
        <v>Laptop</v>
      </c>
      <c r="N224" t="str">
        <f t="shared" si="37"/>
        <v>no</v>
      </c>
      <c r="O224" t="str">
        <f t="shared" si="35"/>
        <v>no</v>
      </c>
      <c r="P224" t="str">
        <f t="shared" si="36"/>
        <v>no</v>
      </c>
    </row>
    <row r="225" spans="1:16" x14ac:dyDescent="0.3">
      <c r="A225" s="8" t="s">
        <v>249</v>
      </c>
      <c r="B225" s="8" t="s">
        <v>21</v>
      </c>
      <c r="C225" s="15">
        <v>2099.9699999999998</v>
      </c>
      <c r="D225">
        <f t="shared" si="32"/>
        <v>2099.9699999999998</v>
      </c>
      <c r="E225" t="str">
        <f t="shared" si="33"/>
        <v xml:space="preserve"> </v>
      </c>
      <c r="F225" t="str">
        <f t="shared" si="34"/>
        <v/>
      </c>
      <c r="G225" t="str">
        <f t="shared" si="38"/>
        <v xml:space="preserve"> </v>
      </c>
      <c r="H225" t="str">
        <f t="shared" si="39"/>
        <v/>
      </c>
      <c r="I225" t="str">
        <f t="shared" si="40"/>
        <v/>
      </c>
      <c r="K225">
        <f>Table1[[#This Row],[Quantity]]</f>
        <v>5</v>
      </c>
      <c r="L225" t="str">
        <f>Table1[[#This Row],[Category]]</f>
        <v>Furniture</v>
      </c>
      <c r="M225" t="str">
        <f>Table1[[#This Row],[Product_Name]]</f>
        <v>Office Chair</v>
      </c>
      <c r="N225" t="str">
        <f t="shared" si="37"/>
        <v>no</v>
      </c>
      <c r="O225" t="str">
        <f t="shared" si="35"/>
        <v>no</v>
      </c>
      <c r="P225" t="str">
        <f t="shared" si="36"/>
        <v>Office Chair</v>
      </c>
    </row>
    <row r="226" spans="1:16" x14ac:dyDescent="0.3">
      <c r="A226" s="7" t="s">
        <v>328</v>
      </c>
      <c r="B226" s="8" t="s">
        <v>21</v>
      </c>
      <c r="C226" s="15">
        <v>2099.9699999999998</v>
      </c>
      <c r="D226">
        <f t="shared" si="32"/>
        <v>2099.9699999999998</v>
      </c>
      <c r="E226" t="str">
        <f t="shared" si="33"/>
        <v xml:space="preserve"> </v>
      </c>
      <c r="F226" t="str">
        <f t="shared" si="34"/>
        <v/>
      </c>
      <c r="G226" t="str">
        <f t="shared" si="38"/>
        <v xml:space="preserve"> </v>
      </c>
      <c r="H226" t="str">
        <f t="shared" si="39"/>
        <v/>
      </c>
      <c r="I226" t="str">
        <f t="shared" si="40"/>
        <v/>
      </c>
      <c r="K226">
        <f>Table1[[#This Row],[Quantity]]</f>
        <v>5</v>
      </c>
      <c r="L226" t="str">
        <f>Table1[[#This Row],[Category]]</f>
        <v>Electronics</v>
      </c>
      <c r="M226" t="str">
        <f>Table1[[#This Row],[Product_Name]]</f>
        <v>Monitor</v>
      </c>
      <c r="N226" t="str">
        <f t="shared" si="37"/>
        <v>no</v>
      </c>
      <c r="O226" t="str">
        <f t="shared" si="35"/>
        <v>no</v>
      </c>
      <c r="P226" t="str">
        <f t="shared" si="36"/>
        <v>no</v>
      </c>
    </row>
    <row r="227" spans="1:16" x14ac:dyDescent="0.3">
      <c r="A227" s="8" t="s">
        <v>214</v>
      </c>
      <c r="B227" s="7" t="s">
        <v>21</v>
      </c>
      <c r="C227" s="14">
        <v>2099.9699999999998</v>
      </c>
      <c r="D227">
        <f t="shared" si="32"/>
        <v>2099.9699999999998</v>
      </c>
      <c r="E227" t="str">
        <f t="shared" si="33"/>
        <v xml:space="preserve"> </v>
      </c>
      <c r="F227" t="str">
        <f t="shared" si="34"/>
        <v/>
      </c>
      <c r="G227" t="str">
        <f t="shared" si="38"/>
        <v xml:space="preserve"> </v>
      </c>
      <c r="H227" t="str">
        <f t="shared" si="39"/>
        <v/>
      </c>
      <c r="I227" t="str">
        <f t="shared" si="40"/>
        <v/>
      </c>
      <c r="K227">
        <f>Table1[[#This Row],[Quantity]]</f>
        <v>5</v>
      </c>
      <c r="L227" t="str">
        <f>Table1[[#This Row],[Category]]</f>
        <v>Furniture</v>
      </c>
      <c r="M227" t="str">
        <f>Table1[[#This Row],[Product_Name]]</f>
        <v>Bookshelf</v>
      </c>
      <c r="N227" t="str">
        <f t="shared" si="37"/>
        <v>no</v>
      </c>
      <c r="O227" t="str">
        <f t="shared" si="35"/>
        <v>no</v>
      </c>
      <c r="P227" t="str">
        <f t="shared" si="36"/>
        <v>Bookshelf</v>
      </c>
    </row>
    <row r="228" spans="1:16" x14ac:dyDescent="0.3">
      <c r="A228" s="7" t="s">
        <v>141</v>
      </c>
      <c r="B228" s="8" t="s">
        <v>21</v>
      </c>
      <c r="C228" s="15">
        <v>2699.97</v>
      </c>
      <c r="D228">
        <f t="shared" si="32"/>
        <v>2699.97</v>
      </c>
      <c r="E228" t="str">
        <f t="shared" si="33"/>
        <v xml:space="preserve"> </v>
      </c>
      <c r="F228" t="str">
        <f t="shared" si="34"/>
        <v/>
      </c>
      <c r="G228" t="str">
        <f t="shared" si="38"/>
        <v xml:space="preserve"> </v>
      </c>
      <c r="H228" t="str">
        <f t="shared" si="39"/>
        <v/>
      </c>
      <c r="I228" t="str">
        <f t="shared" si="40"/>
        <v/>
      </c>
      <c r="K228">
        <f>Table1[[#This Row],[Quantity]]</f>
        <v>5</v>
      </c>
      <c r="L228" t="str">
        <f>Table1[[#This Row],[Category]]</f>
        <v>Electronics</v>
      </c>
      <c r="M228" t="str">
        <f>Table1[[#This Row],[Product_Name]]</f>
        <v>Laptop</v>
      </c>
      <c r="N228" t="str">
        <f t="shared" si="37"/>
        <v>no</v>
      </c>
      <c r="O228" t="str">
        <f t="shared" si="35"/>
        <v>no</v>
      </c>
      <c r="P228" t="str">
        <f t="shared" si="36"/>
        <v>no</v>
      </c>
    </row>
    <row r="229" spans="1:16" x14ac:dyDescent="0.3">
      <c r="A229" s="8" t="s">
        <v>262</v>
      </c>
      <c r="B229" s="8" t="s">
        <v>21</v>
      </c>
      <c r="C229" s="15">
        <v>2699.97</v>
      </c>
      <c r="D229">
        <f t="shared" si="32"/>
        <v>2699.97</v>
      </c>
      <c r="E229" t="str">
        <f t="shared" si="33"/>
        <v xml:space="preserve"> </v>
      </c>
      <c r="F229" t="str">
        <f t="shared" si="34"/>
        <v/>
      </c>
      <c r="G229" t="str">
        <f t="shared" si="38"/>
        <v xml:space="preserve"> </v>
      </c>
      <c r="H229" t="str">
        <f t="shared" si="39"/>
        <v/>
      </c>
      <c r="I229" t="str">
        <f t="shared" si="40"/>
        <v/>
      </c>
      <c r="K229">
        <f>Table1[[#This Row],[Quantity]]</f>
        <v>5</v>
      </c>
      <c r="L229" t="str">
        <f>Table1[[#This Row],[Category]]</f>
        <v>Furniture</v>
      </c>
      <c r="M229" t="str">
        <f>Table1[[#This Row],[Product_Name]]</f>
        <v>Bookshelf</v>
      </c>
      <c r="N229" t="str">
        <f t="shared" si="37"/>
        <v>no</v>
      </c>
      <c r="O229" t="str">
        <f t="shared" si="35"/>
        <v>no</v>
      </c>
      <c r="P229" t="str">
        <f t="shared" si="36"/>
        <v>Bookshelf</v>
      </c>
    </row>
    <row r="230" spans="1:16" x14ac:dyDescent="0.3">
      <c r="A230" s="7" t="s">
        <v>96</v>
      </c>
      <c r="B230" s="8" t="s">
        <v>21</v>
      </c>
      <c r="C230" s="15">
        <v>2699.97</v>
      </c>
      <c r="D230">
        <f t="shared" si="32"/>
        <v>2699.97</v>
      </c>
      <c r="E230" t="str">
        <f t="shared" si="33"/>
        <v xml:space="preserve"> </v>
      </c>
      <c r="F230" t="str">
        <f t="shared" si="34"/>
        <v/>
      </c>
      <c r="G230" t="str">
        <f t="shared" si="38"/>
        <v xml:space="preserve"> </v>
      </c>
      <c r="H230" t="str">
        <f t="shared" si="39"/>
        <v/>
      </c>
      <c r="I230" t="str">
        <f t="shared" si="40"/>
        <v/>
      </c>
      <c r="K230">
        <f>Table1[[#This Row],[Quantity]]</f>
        <v>5</v>
      </c>
      <c r="L230" t="str">
        <f>Table1[[#This Row],[Category]]</f>
        <v>Furniture</v>
      </c>
      <c r="M230" t="str">
        <f>Table1[[#This Row],[Product_Name]]</f>
        <v>Bookshelf</v>
      </c>
      <c r="N230" t="str">
        <f t="shared" si="37"/>
        <v>no</v>
      </c>
      <c r="O230" t="str">
        <f t="shared" si="35"/>
        <v>no</v>
      </c>
      <c r="P230" t="str">
        <f t="shared" si="36"/>
        <v>Bookshelf</v>
      </c>
    </row>
    <row r="231" spans="1:16" x14ac:dyDescent="0.3">
      <c r="A231" s="8" t="s">
        <v>58</v>
      </c>
      <c r="B231" s="8" t="s">
        <v>21</v>
      </c>
      <c r="C231" s="15">
        <v>2699.97</v>
      </c>
      <c r="D231">
        <f t="shared" si="32"/>
        <v>2699.97</v>
      </c>
      <c r="E231" t="str">
        <f t="shared" si="33"/>
        <v xml:space="preserve"> </v>
      </c>
      <c r="F231" t="str">
        <f t="shared" si="34"/>
        <v/>
      </c>
      <c r="G231" t="str">
        <f t="shared" si="38"/>
        <v xml:space="preserve"> </v>
      </c>
      <c r="H231" t="str">
        <f t="shared" si="39"/>
        <v/>
      </c>
      <c r="I231" t="str">
        <f t="shared" si="40"/>
        <v/>
      </c>
      <c r="K231">
        <f>Table1[[#This Row],[Quantity]]</f>
        <v>5</v>
      </c>
      <c r="L231" t="str">
        <f>Table1[[#This Row],[Category]]</f>
        <v>Furniture</v>
      </c>
      <c r="M231" t="str">
        <f>Table1[[#This Row],[Product_Name]]</f>
        <v>Bookshelf</v>
      </c>
      <c r="N231" t="str">
        <f t="shared" si="37"/>
        <v>no</v>
      </c>
      <c r="O231" t="str">
        <f t="shared" si="35"/>
        <v>no</v>
      </c>
      <c r="P231" t="str">
        <f t="shared" si="36"/>
        <v>Bookshelf</v>
      </c>
    </row>
    <row r="232" spans="1:16" x14ac:dyDescent="0.3">
      <c r="A232" s="7" t="s">
        <v>229</v>
      </c>
      <c r="B232" s="7" t="s">
        <v>21</v>
      </c>
      <c r="C232" s="14">
        <v>2699.97</v>
      </c>
      <c r="D232">
        <f t="shared" si="32"/>
        <v>2699.97</v>
      </c>
      <c r="E232" t="str">
        <f t="shared" si="33"/>
        <v xml:space="preserve"> </v>
      </c>
      <c r="F232" t="str">
        <f t="shared" si="34"/>
        <v/>
      </c>
      <c r="G232" t="str">
        <f t="shared" si="38"/>
        <v xml:space="preserve"> </v>
      </c>
      <c r="H232" t="str">
        <f t="shared" si="39"/>
        <v/>
      </c>
      <c r="I232" t="str">
        <f t="shared" si="40"/>
        <v/>
      </c>
      <c r="K232">
        <f>Table1[[#This Row],[Quantity]]</f>
        <v>5</v>
      </c>
      <c r="L232" t="str">
        <f>Table1[[#This Row],[Category]]</f>
        <v>Electronics</v>
      </c>
      <c r="M232" t="str">
        <f>Table1[[#This Row],[Product_Name]]</f>
        <v>Keyboard</v>
      </c>
      <c r="N232" t="str">
        <f t="shared" si="37"/>
        <v>no</v>
      </c>
      <c r="O232" t="str">
        <f t="shared" si="35"/>
        <v>no</v>
      </c>
      <c r="P232" t="str">
        <f t="shared" si="36"/>
        <v>no</v>
      </c>
    </row>
    <row r="233" spans="1:16" x14ac:dyDescent="0.3">
      <c r="A233" s="8" t="s">
        <v>78</v>
      </c>
      <c r="B233" s="8" t="s">
        <v>21</v>
      </c>
      <c r="C233" s="15">
        <v>2699.97</v>
      </c>
      <c r="D233">
        <f t="shared" si="32"/>
        <v>2699.97</v>
      </c>
      <c r="E233" t="str">
        <f t="shared" si="33"/>
        <v xml:space="preserve"> </v>
      </c>
      <c r="F233" t="str">
        <f t="shared" si="34"/>
        <v/>
      </c>
      <c r="G233" t="str">
        <f t="shared" si="38"/>
        <v xml:space="preserve"> </v>
      </c>
      <c r="H233" t="str">
        <f t="shared" si="39"/>
        <v/>
      </c>
      <c r="I233" t="str">
        <f t="shared" si="40"/>
        <v/>
      </c>
      <c r="K233">
        <f>Table1[[#This Row],[Quantity]]</f>
        <v>5</v>
      </c>
      <c r="L233" t="str">
        <f>Table1[[#This Row],[Category]]</f>
        <v>Furniture</v>
      </c>
      <c r="M233" t="str">
        <f>Table1[[#This Row],[Product_Name]]</f>
        <v>Office Chair</v>
      </c>
      <c r="N233" t="str">
        <f t="shared" si="37"/>
        <v>no</v>
      </c>
      <c r="O233" t="str">
        <f t="shared" si="35"/>
        <v>no</v>
      </c>
      <c r="P233" t="str">
        <f t="shared" si="36"/>
        <v>Office Chair</v>
      </c>
    </row>
    <row r="234" spans="1:16" x14ac:dyDescent="0.3">
      <c r="A234" s="7" t="s">
        <v>18</v>
      </c>
      <c r="B234" s="8" t="s">
        <v>21</v>
      </c>
      <c r="C234" s="15">
        <v>2699.97</v>
      </c>
      <c r="D234">
        <f t="shared" si="32"/>
        <v>2699.97</v>
      </c>
      <c r="E234" t="str">
        <f t="shared" si="33"/>
        <v xml:space="preserve"> </v>
      </c>
      <c r="F234" t="str">
        <f t="shared" si="34"/>
        <v/>
      </c>
      <c r="G234" t="str">
        <f t="shared" si="38"/>
        <v xml:space="preserve"> </v>
      </c>
      <c r="H234" t="str">
        <f t="shared" si="39"/>
        <v/>
      </c>
      <c r="I234" t="str">
        <f t="shared" si="40"/>
        <v/>
      </c>
      <c r="K234">
        <f>Table1[[#This Row],[Quantity]]</f>
        <v>5</v>
      </c>
      <c r="L234" t="str">
        <f>Table1[[#This Row],[Category]]</f>
        <v>Furniture</v>
      </c>
      <c r="M234" t="str">
        <f>Table1[[#This Row],[Product_Name]]</f>
        <v>Desk</v>
      </c>
      <c r="N234" t="str">
        <f t="shared" si="37"/>
        <v>no</v>
      </c>
      <c r="O234" t="str">
        <f t="shared" si="35"/>
        <v>no</v>
      </c>
      <c r="P234" t="str">
        <f t="shared" si="36"/>
        <v>Desk</v>
      </c>
    </row>
    <row r="235" spans="1:16" x14ac:dyDescent="0.3">
      <c r="A235" s="8" t="s">
        <v>123</v>
      </c>
      <c r="B235" s="7" t="s">
        <v>21</v>
      </c>
      <c r="C235" s="14">
        <v>2799.96</v>
      </c>
      <c r="D235">
        <f t="shared" si="32"/>
        <v>2799.96</v>
      </c>
      <c r="E235" t="str">
        <f t="shared" si="33"/>
        <v xml:space="preserve"> </v>
      </c>
      <c r="F235" t="str">
        <f t="shared" si="34"/>
        <v/>
      </c>
      <c r="G235" t="str">
        <f t="shared" si="38"/>
        <v xml:space="preserve"> </v>
      </c>
      <c r="H235" t="str">
        <f t="shared" si="39"/>
        <v/>
      </c>
      <c r="I235" t="str">
        <f t="shared" si="40"/>
        <v/>
      </c>
      <c r="K235">
        <f>Table1[[#This Row],[Quantity]]</f>
        <v>5</v>
      </c>
      <c r="L235" t="str">
        <f>Table1[[#This Row],[Category]]</f>
        <v>Electronics</v>
      </c>
      <c r="M235" t="str">
        <f>Table1[[#This Row],[Product_Name]]</f>
        <v>Smartphone</v>
      </c>
      <c r="N235" t="str">
        <f t="shared" si="37"/>
        <v>no</v>
      </c>
      <c r="O235" t="str">
        <f t="shared" si="35"/>
        <v>no</v>
      </c>
      <c r="P235" t="str">
        <f t="shared" si="36"/>
        <v>no</v>
      </c>
    </row>
    <row r="236" spans="1:16" x14ac:dyDescent="0.3">
      <c r="A236" s="7" t="s">
        <v>229</v>
      </c>
      <c r="B236" s="7" t="s">
        <v>21</v>
      </c>
      <c r="C236" s="14">
        <v>2799.96</v>
      </c>
      <c r="D236">
        <f t="shared" si="32"/>
        <v>2799.96</v>
      </c>
      <c r="E236" t="str">
        <f t="shared" si="33"/>
        <v xml:space="preserve"> </v>
      </c>
      <c r="F236" t="str">
        <f t="shared" si="34"/>
        <v/>
      </c>
      <c r="G236" t="str">
        <f t="shared" si="38"/>
        <v xml:space="preserve"> </v>
      </c>
      <c r="H236" t="str">
        <f t="shared" si="39"/>
        <v/>
      </c>
      <c r="I236" t="str">
        <f t="shared" si="40"/>
        <v/>
      </c>
      <c r="K236">
        <f>Table1[[#This Row],[Quantity]]</f>
        <v>5</v>
      </c>
      <c r="L236" t="str">
        <f>Table1[[#This Row],[Category]]</f>
        <v>Electronics</v>
      </c>
      <c r="M236" t="str">
        <f>Table1[[#This Row],[Product_Name]]</f>
        <v>Smartphone</v>
      </c>
      <c r="N236" t="str">
        <f t="shared" si="37"/>
        <v>no</v>
      </c>
      <c r="O236" t="str">
        <f t="shared" si="35"/>
        <v>no</v>
      </c>
      <c r="P236" t="str">
        <f t="shared" si="36"/>
        <v>no</v>
      </c>
    </row>
    <row r="237" spans="1:16" x14ac:dyDescent="0.3">
      <c r="A237" s="8" t="s">
        <v>147</v>
      </c>
      <c r="B237" s="8" t="s">
        <v>21</v>
      </c>
      <c r="C237" s="15">
        <v>2799.96</v>
      </c>
      <c r="D237">
        <f t="shared" si="32"/>
        <v>2799.96</v>
      </c>
      <c r="E237" t="str">
        <f t="shared" si="33"/>
        <v xml:space="preserve"> </v>
      </c>
      <c r="F237" t="str">
        <f t="shared" si="34"/>
        <v/>
      </c>
      <c r="G237" t="str">
        <f t="shared" si="38"/>
        <v xml:space="preserve"> </v>
      </c>
      <c r="H237" t="str">
        <f t="shared" si="39"/>
        <v/>
      </c>
      <c r="I237" t="str">
        <f t="shared" si="40"/>
        <v/>
      </c>
      <c r="K237">
        <f>Table1[[#This Row],[Quantity]]</f>
        <v>5</v>
      </c>
      <c r="L237" t="str">
        <f>Table1[[#This Row],[Category]]</f>
        <v>Electronics</v>
      </c>
      <c r="M237" t="str">
        <f>Table1[[#This Row],[Product_Name]]</f>
        <v>Monitor</v>
      </c>
      <c r="N237" t="str">
        <f t="shared" si="37"/>
        <v>no</v>
      </c>
      <c r="O237" t="str">
        <f t="shared" si="35"/>
        <v>no</v>
      </c>
      <c r="P237" t="str">
        <f t="shared" si="36"/>
        <v>no</v>
      </c>
    </row>
    <row r="238" spans="1:16" x14ac:dyDescent="0.3">
      <c r="A238" s="7" t="s">
        <v>58</v>
      </c>
      <c r="B238" s="8" t="s">
        <v>21</v>
      </c>
      <c r="C238" s="15">
        <v>2799.96</v>
      </c>
      <c r="D238">
        <f t="shared" si="32"/>
        <v>2799.96</v>
      </c>
      <c r="E238" t="str">
        <f t="shared" si="33"/>
        <v xml:space="preserve"> </v>
      </c>
      <c r="F238" t="str">
        <f t="shared" si="34"/>
        <v/>
      </c>
      <c r="G238" t="str">
        <f t="shared" si="38"/>
        <v xml:space="preserve"> </v>
      </c>
      <c r="H238" t="str">
        <f t="shared" si="39"/>
        <v/>
      </c>
      <c r="I238" t="str">
        <f t="shared" si="40"/>
        <v/>
      </c>
      <c r="K238">
        <f>Table1[[#This Row],[Quantity]]</f>
        <v>5</v>
      </c>
      <c r="L238" t="str">
        <f>Table1[[#This Row],[Category]]</f>
        <v>Electronics</v>
      </c>
      <c r="M238" t="str">
        <f>Table1[[#This Row],[Product_Name]]</f>
        <v>Monitor</v>
      </c>
      <c r="N238" t="str">
        <f t="shared" si="37"/>
        <v>no</v>
      </c>
      <c r="O238" t="str">
        <f t="shared" si="35"/>
        <v>no</v>
      </c>
      <c r="P238" t="str">
        <f t="shared" si="36"/>
        <v>no</v>
      </c>
    </row>
    <row r="239" spans="1:16" x14ac:dyDescent="0.3">
      <c r="A239" s="8" t="s">
        <v>147</v>
      </c>
      <c r="B239" s="7" t="s">
        <v>21</v>
      </c>
      <c r="C239" s="14">
        <v>2799.96</v>
      </c>
      <c r="D239">
        <f t="shared" si="32"/>
        <v>2799.96</v>
      </c>
      <c r="E239" t="str">
        <f t="shared" si="33"/>
        <v xml:space="preserve"> </v>
      </c>
      <c r="F239" t="str">
        <f t="shared" si="34"/>
        <v/>
      </c>
      <c r="G239" t="str">
        <f t="shared" si="38"/>
        <v xml:space="preserve"> </v>
      </c>
      <c r="H239" t="str">
        <f t="shared" si="39"/>
        <v/>
      </c>
      <c r="I239" t="str">
        <f t="shared" si="40"/>
        <v/>
      </c>
      <c r="K239">
        <f>Table1[[#This Row],[Quantity]]</f>
        <v>5</v>
      </c>
      <c r="L239" t="str">
        <f>Table1[[#This Row],[Category]]</f>
        <v>Electronics</v>
      </c>
      <c r="M239" t="str">
        <f>Table1[[#This Row],[Product_Name]]</f>
        <v>Monitor</v>
      </c>
      <c r="N239" t="str">
        <f t="shared" si="37"/>
        <v>no</v>
      </c>
      <c r="O239" t="str">
        <f t="shared" si="35"/>
        <v>no</v>
      </c>
      <c r="P239" t="str">
        <f t="shared" si="36"/>
        <v>no</v>
      </c>
    </row>
    <row r="240" spans="1:16" x14ac:dyDescent="0.3">
      <c r="A240" s="7" t="s">
        <v>195</v>
      </c>
      <c r="B240" s="8" t="s">
        <v>21</v>
      </c>
      <c r="C240" s="15">
        <v>3499.95</v>
      </c>
      <c r="D240">
        <f t="shared" si="32"/>
        <v>3499.95</v>
      </c>
      <c r="E240" t="str">
        <f t="shared" si="33"/>
        <v xml:space="preserve"> </v>
      </c>
      <c r="F240" t="str">
        <f t="shared" si="34"/>
        <v/>
      </c>
      <c r="G240" t="str">
        <f t="shared" si="38"/>
        <v xml:space="preserve"> </v>
      </c>
      <c r="H240" t="str">
        <f t="shared" si="39"/>
        <v/>
      </c>
      <c r="I240" t="str">
        <f t="shared" si="40"/>
        <v/>
      </c>
      <c r="K240">
        <f>Table1[[#This Row],[Quantity]]</f>
        <v>5</v>
      </c>
      <c r="L240" t="str">
        <f>Table1[[#This Row],[Category]]</f>
        <v>Electronics</v>
      </c>
      <c r="M240" t="str">
        <f>Table1[[#This Row],[Product_Name]]</f>
        <v>Smartphone</v>
      </c>
      <c r="N240" t="str">
        <f t="shared" si="37"/>
        <v>no</v>
      </c>
      <c r="O240" t="str">
        <f t="shared" si="35"/>
        <v>no</v>
      </c>
      <c r="P240" t="str">
        <f t="shared" si="36"/>
        <v>no</v>
      </c>
    </row>
    <row r="241" spans="1:16" x14ac:dyDescent="0.3">
      <c r="A241" s="8" t="s">
        <v>135</v>
      </c>
      <c r="B241" s="7" t="s">
        <v>21</v>
      </c>
      <c r="C241" s="14">
        <v>3499.95</v>
      </c>
      <c r="D241">
        <f t="shared" si="32"/>
        <v>3499.95</v>
      </c>
      <c r="E241" t="str">
        <f t="shared" si="33"/>
        <v xml:space="preserve"> </v>
      </c>
      <c r="F241" t="str">
        <f t="shared" si="34"/>
        <v/>
      </c>
      <c r="G241" t="str">
        <f t="shared" si="38"/>
        <v xml:space="preserve"> </v>
      </c>
      <c r="H241" t="str">
        <f t="shared" si="39"/>
        <v/>
      </c>
      <c r="I241" t="str">
        <f t="shared" si="40"/>
        <v/>
      </c>
      <c r="K241">
        <f>Table1[[#This Row],[Quantity]]</f>
        <v>5</v>
      </c>
      <c r="L241" t="str">
        <f>Table1[[#This Row],[Category]]</f>
        <v>Furniture</v>
      </c>
      <c r="M241" t="str">
        <f>Table1[[#This Row],[Product_Name]]</f>
        <v>Desk</v>
      </c>
      <c r="N241" t="str">
        <f t="shared" si="37"/>
        <v>no</v>
      </c>
      <c r="O241" t="str">
        <f t="shared" si="35"/>
        <v>no</v>
      </c>
      <c r="P241" t="str">
        <f t="shared" si="36"/>
        <v>Desk</v>
      </c>
    </row>
    <row r="242" spans="1:16" x14ac:dyDescent="0.3">
      <c r="A242" s="7" t="s">
        <v>153</v>
      </c>
      <c r="B242" s="7" t="s">
        <v>21</v>
      </c>
      <c r="C242" s="14">
        <v>3499.95</v>
      </c>
      <c r="D242">
        <f t="shared" si="32"/>
        <v>3499.95</v>
      </c>
      <c r="E242" t="str">
        <f t="shared" si="33"/>
        <v xml:space="preserve"> </v>
      </c>
      <c r="F242" t="str">
        <f t="shared" si="34"/>
        <v/>
      </c>
      <c r="G242" t="str">
        <f t="shared" si="38"/>
        <v xml:space="preserve"> </v>
      </c>
      <c r="H242" t="str">
        <f t="shared" si="39"/>
        <v/>
      </c>
      <c r="I242" t="str">
        <f t="shared" si="40"/>
        <v/>
      </c>
      <c r="K242">
        <f>Table1[[#This Row],[Quantity]]</f>
        <v>5</v>
      </c>
      <c r="L242" t="str">
        <f>Table1[[#This Row],[Category]]</f>
        <v>Electronics</v>
      </c>
      <c r="M242" t="str">
        <f>Table1[[#This Row],[Product_Name]]</f>
        <v>Laptop</v>
      </c>
      <c r="N242" t="str">
        <f t="shared" si="37"/>
        <v>no</v>
      </c>
      <c r="O242" t="str">
        <f t="shared" si="35"/>
        <v>no</v>
      </c>
      <c r="P242" t="str">
        <f t="shared" si="36"/>
        <v>no</v>
      </c>
    </row>
    <row r="243" spans="1:16" x14ac:dyDescent="0.3">
      <c r="A243" s="8" t="s">
        <v>51</v>
      </c>
      <c r="B243" s="8" t="s">
        <v>21</v>
      </c>
      <c r="C243" s="15">
        <v>3499.95</v>
      </c>
      <c r="D243">
        <f t="shared" si="32"/>
        <v>3499.95</v>
      </c>
      <c r="E243" t="str">
        <f t="shared" si="33"/>
        <v xml:space="preserve"> </v>
      </c>
      <c r="F243" t="str">
        <f t="shared" si="34"/>
        <v/>
      </c>
      <c r="G243" t="str">
        <f t="shared" si="38"/>
        <v xml:space="preserve"> </v>
      </c>
      <c r="H243" t="str">
        <f t="shared" si="39"/>
        <v/>
      </c>
      <c r="I243" t="str">
        <f t="shared" si="40"/>
        <v/>
      </c>
      <c r="K243">
        <f>Table1[[#This Row],[Quantity]]</f>
        <v>5</v>
      </c>
      <c r="L243" t="str">
        <f>Table1[[#This Row],[Category]]</f>
        <v>Electronics</v>
      </c>
      <c r="M243" t="str">
        <f>Table1[[#This Row],[Product_Name]]</f>
        <v>Headphones</v>
      </c>
      <c r="N243" t="str">
        <f t="shared" si="37"/>
        <v>no</v>
      </c>
      <c r="O243" t="str">
        <f t="shared" si="35"/>
        <v>no</v>
      </c>
      <c r="P243" t="str">
        <f t="shared" si="36"/>
        <v>no</v>
      </c>
    </row>
    <row r="244" spans="1:16" x14ac:dyDescent="0.3">
      <c r="A244" s="7" t="s">
        <v>18</v>
      </c>
      <c r="B244" s="8" t="s">
        <v>21</v>
      </c>
      <c r="C244" s="15">
        <v>3499.95</v>
      </c>
      <c r="D244">
        <f t="shared" si="32"/>
        <v>3499.95</v>
      </c>
      <c r="E244" t="str">
        <f t="shared" si="33"/>
        <v xml:space="preserve"> </v>
      </c>
      <c r="F244" t="str">
        <f t="shared" si="34"/>
        <v/>
      </c>
      <c r="G244" t="str">
        <f t="shared" si="38"/>
        <v xml:space="preserve"> </v>
      </c>
      <c r="H244" t="str">
        <f t="shared" si="39"/>
        <v/>
      </c>
      <c r="I244" t="str">
        <f t="shared" si="40"/>
        <v/>
      </c>
      <c r="K244">
        <f>Table1[[#This Row],[Quantity]]</f>
        <v>5</v>
      </c>
      <c r="L244" t="str">
        <f>Table1[[#This Row],[Category]]</f>
        <v>Electronics</v>
      </c>
      <c r="M244" t="str">
        <f>Table1[[#This Row],[Product_Name]]</f>
        <v>Monitor</v>
      </c>
      <c r="N244" t="str">
        <f t="shared" si="37"/>
        <v>no</v>
      </c>
      <c r="O244" t="str">
        <f t="shared" si="35"/>
        <v>no</v>
      </c>
      <c r="P244" t="str">
        <f t="shared" si="36"/>
        <v>no</v>
      </c>
    </row>
    <row r="245" spans="1:16" x14ac:dyDescent="0.3">
      <c r="A245" s="8" t="s">
        <v>389</v>
      </c>
      <c r="B245" s="8" t="s">
        <v>21</v>
      </c>
      <c r="C245" s="15">
        <v>3499.95</v>
      </c>
      <c r="D245">
        <f t="shared" si="32"/>
        <v>3499.95</v>
      </c>
      <c r="E245" t="str">
        <f t="shared" si="33"/>
        <v xml:space="preserve"> </v>
      </c>
      <c r="F245" t="str">
        <f t="shared" si="34"/>
        <v/>
      </c>
      <c r="G245" t="str">
        <f t="shared" si="38"/>
        <v xml:space="preserve"> </v>
      </c>
      <c r="H245" t="str">
        <f t="shared" si="39"/>
        <v/>
      </c>
      <c r="I245" t="str">
        <f t="shared" si="40"/>
        <v/>
      </c>
      <c r="K245">
        <f>Table1[[#This Row],[Quantity]]</f>
        <v>5</v>
      </c>
      <c r="L245" t="str">
        <f>Table1[[#This Row],[Category]]</f>
        <v>Electronics</v>
      </c>
      <c r="M245" t="str">
        <f>Table1[[#This Row],[Product_Name]]</f>
        <v>Smartphone</v>
      </c>
      <c r="N245" t="str">
        <f t="shared" si="37"/>
        <v>no</v>
      </c>
      <c r="O245" t="str">
        <f t="shared" si="35"/>
        <v>no</v>
      </c>
      <c r="P245" t="str">
        <f t="shared" si="36"/>
        <v>no</v>
      </c>
    </row>
    <row r="246" spans="1:16" x14ac:dyDescent="0.3">
      <c r="A246" s="7" t="s">
        <v>105</v>
      </c>
      <c r="B246" s="7" t="s">
        <v>21</v>
      </c>
      <c r="C246" s="14">
        <v>3499.95</v>
      </c>
      <c r="D246">
        <f t="shared" si="32"/>
        <v>3499.95</v>
      </c>
      <c r="E246" t="str">
        <f t="shared" si="33"/>
        <v xml:space="preserve"> </v>
      </c>
      <c r="F246" t="str">
        <f t="shared" si="34"/>
        <v/>
      </c>
      <c r="G246" t="str">
        <f t="shared" si="38"/>
        <v xml:space="preserve"> </v>
      </c>
      <c r="H246" t="str">
        <f t="shared" si="39"/>
        <v/>
      </c>
      <c r="I246" t="str">
        <f t="shared" si="40"/>
        <v/>
      </c>
      <c r="K246">
        <f>Table1[[#This Row],[Quantity]]</f>
        <v>5</v>
      </c>
      <c r="L246" t="str">
        <f>Table1[[#This Row],[Category]]</f>
        <v>Furniture</v>
      </c>
      <c r="M246" t="str">
        <f>Table1[[#This Row],[Product_Name]]</f>
        <v>Desk</v>
      </c>
      <c r="N246" t="str">
        <f t="shared" si="37"/>
        <v>no</v>
      </c>
      <c r="O246" t="str">
        <f t="shared" si="35"/>
        <v>no</v>
      </c>
      <c r="P246" t="str">
        <f t="shared" si="36"/>
        <v>Desk</v>
      </c>
    </row>
    <row r="247" spans="1:16" x14ac:dyDescent="0.3">
      <c r="A247" s="8" t="s">
        <v>188</v>
      </c>
      <c r="B247" s="8" t="s">
        <v>21</v>
      </c>
      <c r="C247" s="15">
        <v>3599.96</v>
      </c>
      <c r="D247">
        <f t="shared" si="32"/>
        <v>3599.96</v>
      </c>
      <c r="E247" t="str">
        <f t="shared" si="33"/>
        <v xml:space="preserve"> </v>
      </c>
      <c r="F247" t="str">
        <f t="shared" si="34"/>
        <v/>
      </c>
      <c r="G247" t="str">
        <f t="shared" si="38"/>
        <v xml:space="preserve"> </v>
      </c>
      <c r="H247" t="str">
        <f t="shared" si="39"/>
        <v/>
      </c>
      <c r="I247" t="str">
        <f t="shared" si="40"/>
        <v/>
      </c>
      <c r="K247">
        <f>Table1[[#This Row],[Quantity]]</f>
        <v>5</v>
      </c>
      <c r="L247" t="str">
        <f>Table1[[#This Row],[Category]]</f>
        <v>Electronics</v>
      </c>
      <c r="M247" t="str">
        <f>Table1[[#This Row],[Product_Name]]</f>
        <v>Keyboard</v>
      </c>
      <c r="N247" t="str">
        <f t="shared" si="37"/>
        <v>no</v>
      </c>
      <c r="O247" t="str">
        <f t="shared" si="35"/>
        <v>no</v>
      </c>
      <c r="P247" t="str">
        <f t="shared" si="36"/>
        <v>no</v>
      </c>
    </row>
    <row r="248" spans="1:16" x14ac:dyDescent="0.3">
      <c r="A248" s="7" t="s">
        <v>96</v>
      </c>
      <c r="B248" s="7" t="s">
        <v>21</v>
      </c>
      <c r="C248" s="14">
        <v>3599.96</v>
      </c>
      <c r="D248">
        <f t="shared" si="32"/>
        <v>3599.96</v>
      </c>
      <c r="E248" t="str">
        <f t="shared" si="33"/>
        <v xml:space="preserve"> </v>
      </c>
      <c r="F248" t="str">
        <f t="shared" si="34"/>
        <v/>
      </c>
      <c r="G248" t="str">
        <f t="shared" si="38"/>
        <v xml:space="preserve"> </v>
      </c>
      <c r="H248" t="str">
        <f t="shared" si="39"/>
        <v/>
      </c>
      <c r="I248" t="str">
        <f t="shared" si="40"/>
        <v/>
      </c>
      <c r="K248">
        <f>Table1[[#This Row],[Quantity]]</f>
        <v>5</v>
      </c>
      <c r="L248" t="str">
        <f>Table1[[#This Row],[Category]]</f>
        <v>Electronics</v>
      </c>
      <c r="M248" t="str">
        <f>Table1[[#This Row],[Product_Name]]</f>
        <v>Smartphone</v>
      </c>
      <c r="N248" t="str">
        <f t="shared" si="37"/>
        <v>no</v>
      </c>
      <c r="O248" t="str">
        <f t="shared" si="35"/>
        <v>no</v>
      </c>
      <c r="P248" t="str">
        <f t="shared" si="36"/>
        <v>no</v>
      </c>
    </row>
    <row r="249" spans="1:16" x14ac:dyDescent="0.3">
      <c r="A249" s="8" t="s">
        <v>68</v>
      </c>
      <c r="B249" s="8" t="s">
        <v>21</v>
      </c>
      <c r="C249" s="15">
        <v>3599.96</v>
      </c>
      <c r="D249">
        <f t="shared" si="32"/>
        <v>3599.96</v>
      </c>
      <c r="E249" t="str">
        <f t="shared" si="33"/>
        <v xml:space="preserve"> </v>
      </c>
      <c r="F249" t="str">
        <f t="shared" si="34"/>
        <v/>
      </c>
      <c r="G249" t="str">
        <f t="shared" si="38"/>
        <v xml:space="preserve"> </v>
      </c>
      <c r="H249" t="str">
        <f t="shared" si="39"/>
        <v/>
      </c>
      <c r="I249" t="str">
        <f t="shared" si="40"/>
        <v/>
      </c>
      <c r="K249">
        <f>Table1[[#This Row],[Quantity]]</f>
        <v>5</v>
      </c>
      <c r="L249" t="str">
        <f>Table1[[#This Row],[Category]]</f>
        <v>Electronics</v>
      </c>
      <c r="M249" t="str">
        <f>Table1[[#This Row],[Product_Name]]</f>
        <v>Monitor</v>
      </c>
      <c r="N249" t="str">
        <f t="shared" si="37"/>
        <v>no</v>
      </c>
      <c r="O249" t="str">
        <f t="shared" si="35"/>
        <v>no</v>
      </c>
      <c r="P249" t="str">
        <f t="shared" si="36"/>
        <v>no</v>
      </c>
    </row>
    <row r="250" spans="1:16" x14ac:dyDescent="0.3">
      <c r="A250" s="7" t="s">
        <v>105</v>
      </c>
      <c r="B250" s="8" t="s">
        <v>21</v>
      </c>
      <c r="C250" s="15">
        <v>3599.96</v>
      </c>
      <c r="D250">
        <f t="shared" si="32"/>
        <v>3599.96</v>
      </c>
      <c r="E250" t="str">
        <f t="shared" si="33"/>
        <v xml:space="preserve"> </v>
      </c>
      <c r="F250" t="str">
        <f t="shared" si="34"/>
        <v/>
      </c>
      <c r="G250" t="str">
        <f t="shared" si="38"/>
        <v xml:space="preserve"> </v>
      </c>
      <c r="H250" t="str">
        <f t="shared" si="39"/>
        <v/>
      </c>
      <c r="I250" t="str">
        <f t="shared" si="40"/>
        <v/>
      </c>
      <c r="K250">
        <f>Table1[[#This Row],[Quantity]]</f>
        <v>5</v>
      </c>
      <c r="L250" t="str">
        <f>Table1[[#This Row],[Category]]</f>
        <v>Electronics</v>
      </c>
      <c r="M250" t="str">
        <f>Table1[[#This Row],[Product_Name]]</f>
        <v>Laptop</v>
      </c>
      <c r="N250" t="str">
        <f t="shared" si="37"/>
        <v>no</v>
      </c>
      <c r="O250" t="str">
        <f t="shared" si="35"/>
        <v>no</v>
      </c>
      <c r="P250" t="str">
        <f t="shared" si="36"/>
        <v>no</v>
      </c>
    </row>
    <row r="251" spans="1:16" x14ac:dyDescent="0.3">
      <c r="A251" s="8" t="s">
        <v>126</v>
      </c>
      <c r="B251" s="7" t="s">
        <v>21</v>
      </c>
      <c r="C251" s="14">
        <v>4499.95</v>
      </c>
      <c r="D251">
        <f t="shared" si="32"/>
        <v>4499.95</v>
      </c>
      <c r="E251" t="str">
        <f t="shared" si="33"/>
        <v xml:space="preserve"> </v>
      </c>
      <c r="F251" t="str">
        <f t="shared" si="34"/>
        <v/>
      </c>
      <c r="G251" t="str">
        <f>IF(C251=4499.95,A251," ")</f>
        <v>Edward Mitchell</v>
      </c>
      <c r="H251" t="str">
        <f t="shared" si="39"/>
        <v/>
      </c>
      <c r="I251" t="str">
        <f t="shared" si="40"/>
        <v/>
      </c>
      <c r="K251">
        <f>Table1[[#This Row],[Quantity]]</f>
        <v>5</v>
      </c>
      <c r="L251" t="str">
        <f>Table1[[#This Row],[Category]]</f>
        <v>Electronics</v>
      </c>
      <c r="M251" t="str">
        <f>Table1[[#This Row],[Product_Name]]</f>
        <v>Keyboard</v>
      </c>
      <c r="N251" t="str">
        <f t="shared" si="37"/>
        <v>no</v>
      </c>
      <c r="O251" t="str">
        <f t="shared" si="35"/>
        <v>no</v>
      </c>
      <c r="P251" t="str">
        <f t="shared" si="36"/>
        <v>no</v>
      </c>
    </row>
    <row r="252" spans="1:16" x14ac:dyDescent="0.3">
      <c r="A252" s="7" t="s">
        <v>96</v>
      </c>
      <c r="B252" s="8" t="s">
        <v>21</v>
      </c>
      <c r="C252" s="15">
        <v>4499.95</v>
      </c>
      <c r="D252">
        <f t="shared" si="32"/>
        <v>4499.95</v>
      </c>
      <c r="E252" t="str">
        <f t="shared" si="33"/>
        <v xml:space="preserve"> </v>
      </c>
      <c r="F252" t="str">
        <f t="shared" si="34"/>
        <v/>
      </c>
      <c r="G252" t="str">
        <f t="shared" si="38"/>
        <v>Virginia Sanders</v>
      </c>
      <c r="H252" t="str">
        <f t="shared" si="39"/>
        <v/>
      </c>
      <c r="I252" t="str">
        <f t="shared" si="40"/>
        <v/>
      </c>
    </row>
    <row r="253" spans="1:16" x14ac:dyDescent="0.3">
      <c r="A253" s="8" t="s">
        <v>62</v>
      </c>
      <c r="B253" s="8" t="s">
        <v>21</v>
      </c>
      <c r="C253" s="15">
        <v>4499.95</v>
      </c>
      <c r="D253">
        <f t="shared" si="32"/>
        <v>4499.95</v>
      </c>
      <c r="E253" t="str">
        <f t="shared" si="33"/>
        <v xml:space="preserve"> </v>
      </c>
      <c r="F253" t="str">
        <f t="shared" si="34"/>
        <v/>
      </c>
      <c r="G253" t="str">
        <f t="shared" si="38"/>
        <v>Robert Thomas</v>
      </c>
      <c r="H253" t="str">
        <f t="shared" si="39"/>
        <v/>
      </c>
      <c r="I253" t="str">
        <f t="shared" si="40"/>
        <v/>
      </c>
      <c r="L253" t="e">
        <f>Table1[[#This Row],[Product_Name]]</f>
        <v>#VALUE!</v>
      </c>
    </row>
    <row r="254" spans="1:16" x14ac:dyDescent="0.3">
      <c r="A254" s="7" t="s">
        <v>296</v>
      </c>
      <c r="B254" s="7" t="s">
        <v>21</v>
      </c>
      <c r="C254" s="14">
        <v>4499.95</v>
      </c>
      <c r="D254">
        <f t="shared" si="32"/>
        <v>4499.95</v>
      </c>
      <c r="E254" t="str">
        <f t="shared" si="33"/>
        <v xml:space="preserve"> </v>
      </c>
      <c r="F254" t="str">
        <f t="shared" si="34"/>
        <v/>
      </c>
      <c r="G254" t="str">
        <f t="shared" si="38"/>
        <v>Douglas Watson</v>
      </c>
      <c r="H254" t="str">
        <f t="shared" si="39"/>
        <v/>
      </c>
      <c r="I254" t="str">
        <f t="shared" si="40"/>
        <v/>
      </c>
      <c r="L254" t="e">
        <f>Table1[[#This Row],[Product_Name]]</f>
        <v>#VALUE!</v>
      </c>
    </row>
    <row r="255" spans="1:16" x14ac:dyDescent="0.3">
      <c r="A255" s="8" t="s">
        <v>229</v>
      </c>
      <c r="B255" s="8" t="s">
        <v>21</v>
      </c>
      <c r="C255" s="15">
        <v>4499.95</v>
      </c>
      <c r="D255">
        <f t="shared" si="32"/>
        <v>4499.95</v>
      </c>
      <c r="E255" t="str">
        <f t="shared" si="33"/>
        <v xml:space="preserve"> </v>
      </c>
      <c r="F255" t="str">
        <f t="shared" si="34"/>
        <v/>
      </c>
      <c r="G255" t="str">
        <f t="shared" si="38"/>
        <v>Lawrence Reed</v>
      </c>
      <c r="H255" t="str">
        <f t="shared" si="39"/>
        <v/>
      </c>
      <c r="I255" t="str">
        <f t="shared" si="40"/>
        <v/>
      </c>
      <c r="L255" t="e">
        <f>Table1[[#This Row],[Product_Name]]</f>
        <v>#VALUE!</v>
      </c>
    </row>
    <row r="256" spans="1:16" x14ac:dyDescent="0.3">
      <c r="A256" s="7" t="s">
        <v>141</v>
      </c>
      <c r="B256" s="8" t="s">
        <v>21</v>
      </c>
      <c r="C256" s="15">
        <v>4499.95</v>
      </c>
      <c r="D256">
        <f t="shared" si="32"/>
        <v>4499.95</v>
      </c>
      <c r="E256" t="str">
        <f t="shared" si="33"/>
        <v xml:space="preserve"> </v>
      </c>
      <c r="F256" t="str">
        <f t="shared" si="34"/>
        <v/>
      </c>
      <c r="G256" t="str">
        <f t="shared" si="38"/>
        <v>Steven Turner</v>
      </c>
      <c r="H256" t="str">
        <f t="shared" si="39"/>
        <v/>
      </c>
      <c r="I256" t="str">
        <f t="shared" si="40"/>
        <v/>
      </c>
      <c r="L256" t="e">
        <f>Table1[[#This Row],[Product_Name]]</f>
        <v>#VALUE!</v>
      </c>
    </row>
  </sheetData>
  <mergeCells count="4">
    <mergeCell ref="A1:D1"/>
    <mergeCell ref="E1:G1"/>
    <mergeCell ref="H1:J1"/>
    <mergeCell ref="L1:N1"/>
  </mergeCells>
  <dataValidations count="2">
    <dataValidation type="list" allowBlank="1" showInputMessage="1" showErrorMessage="1" sqref="C3" xr:uid="{5E539A06-9C36-472C-84B5-1C0C5EC7244D}">
      <formula1>$G$251:$G$256</formula1>
    </dataValidation>
    <dataValidation type="list" allowBlank="1" showInputMessage="1" showErrorMessage="1" sqref="C5" xr:uid="{EB6DDF57-D611-43D4-8992-04631F3B4049}">
      <formula1>$I$216:$I$220</formula1>
    </dataValidation>
  </dataValidation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1" sqref="B1:B1048576"/>
    </sheetView>
  </sheetViews>
  <sheetFormatPr defaultColWidth="14.44140625" defaultRowHeight="15" customHeight="1" x14ac:dyDescent="0.3"/>
  <cols>
    <col min="1" max="1" width="13.6640625" customWidth="1"/>
    <col min="2" max="2" width="10.88671875" customWidth="1"/>
    <col min="3" max="3" width="12.33203125" customWidth="1"/>
    <col min="4" max="4" width="15.88671875" customWidth="1"/>
    <col min="5" max="5" width="10.6640625" customWidth="1"/>
    <col min="6" max="6" width="13.88671875" customWidth="1"/>
    <col min="7" max="7" width="10.44140625" customWidth="1"/>
    <col min="8" max="8" width="8.5546875" customWidth="1"/>
    <col min="9" max="9" width="10" customWidth="1"/>
    <col min="10" max="10" width="16.44140625" customWidth="1"/>
    <col min="11" max="11" width="7.33203125" customWidth="1"/>
    <col min="12" max="12" width="17.88671875" customWidth="1"/>
    <col min="13" max="13" width="14.88671875" customWidth="1"/>
    <col min="14" max="14" width="13.109375" customWidth="1"/>
    <col min="15" max="26" width="8.6640625" customWidth="1"/>
  </cols>
  <sheetData>
    <row r="1" spans="1:26" ht="14.4"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c r="P1" s="3"/>
      <c r="Q1" s="3"/>
      <c r="R1" s="3"/>
      <c r="S1" s="3"/>
      <c r="T1" s="3"/>
      <c r="U1" s="3"/>
      <c r="V1" s="3"/>
      <c r="W1" s="3"/>
      <c r="X1" s="3"/>
      <c r="Y1" s="3"/>
      <c r="Z1" s="3"/>
    </row>
    <row r="2" spans="1:26" ht="14.4" x14ac:dyDescent="0.3">
      <c r="A2" s="4" t="s">
        <v>16</v>
      </c>
      <c r="B2" s="5">
        <v>45393</v>
      </c>
      <c r="C2" s="4" t="s">
        <v>17</v>
      </c>
      <c r="D2" s="4" t="s">
        <v>18</v>
      </c>
      <c r="E2" s="4" t="s">
        <v>19</v>
      </c>
      <c r="F2" s="4" t="s">
        <v>20</v>
      </c>
      <c r="G2" s="4" t="s">
        <v>21</v>
      </c>
      <c r="H2" s="4">
        <v>3</v>
      </c>
      <c r="I2" s="4">
        <v>249.99</v>
      </c>
      <c r="J2" s="4" t="s">
        <v>22</v>
      </c>
      <c r="K2" s="4" t="s">
        <v>23</v>
      </c>
      <c r="L2" s="4" t="s">
        <v>24</v>
      </c>
      <c r="M2" s="5">
        <v>44425</v>
      </c>
      <c r="N2" s="4">
        <v>749.97</v>
      </c>
    </row>
    <row r="3" spans="1:26" ht="14.4" x14ac:dyDescent="0.3">
      <c r="A3" s="4" t="s">
        <v>25</v>
      </c>
      <c r="B3" s="5">
        <v>45396</v>
      </c>
      <c r="C3" s="4" t="s">
        <v>26</v>
      </c>
      <c r="D3" s="4" t="s">
        <v>27</v>
      </c>
      <c r="E3" s="4" t="s">
        <v>19</v>
      </c>
      <c r="F3" s="4" t="s">
        <v>20</v>
      </c>
      <c r="G3" s="4" t="s">
        <v>21</v>
      </c>
      <c r="H3" s="4">
        <v>3</v>
      </c>
      <c r="I3" s="4">
        <v>249.99</v>
      </c>
      <c r="J3" s="4" t="s">
        <v>28</v>
      </c>
      <c r="K3" s="4" t="s">
        <v>23</v>
      </c>
      <c r="L3" s="4" t="s">
        <v>29</v>
      </c>
      <c r="M3" s="5">
        <v>44575</v>
      </c>
      <c r="N3" s="4">
        <v>749.97</v>
      </c>
    </row>
    <row r="4" spans="1:26" ht="14.4" x14ac:dyDescent="0.3">
      <c r="A4" s="4" t="s">
        <v>30</v>
      </c>
      <c r="B4" s="5">
        <v>45399</v>
      </c>
      <c r="C4" s="4" t="s">
        <v>31</v>
      </c>
      <c r="D4" s="4" t="s">
        <v>32</v>
      </c>
      <c r="E4" s="4" t="s">
        <v>33</v>
      </c>
      <c r="F4" s="4" t="s">
        <v>34</v>
      </c>
      <c r="G4" s="4" t="s">
        <v>35</v>
      </c>
      <c r="H4" s="4">
        <v>3</v>
      </c>
      <c r="I4" s="4">
        <v>59.99</v>
      </c>
      <c r="J4" s="4" t="s">
        <v>36</v>
      </c>
      <c r="K4" s="4" t="s">
        <v>37</v>
      </c>
      <c r="L4" s="4" t="s">
        <v>38</v>
      </c>
      <c r="M4" s="5">
        <v>45262</v>
      </c>
      <c r="N4" s="4">
        <v>179.97</v>
      </c>
    </row>
    <row r="5" spans="1:26" ht="14.4" x14ac:dyDescent="0.3">
      <c r="A5" s="4" t="s">
        <v>39</v>
      </c>
      <c r="B5" s="5">
        <v>45400</v>
      </c>
      <c r="C5" s="4" t="s">
        <v>40</v>
      </c>
      <c r="D5" s="4" t="s">
        <v>41</v>
      </c>
      <c r="E5" s="4" t="s">
        <v>33</v>
      </c>
      <c r="F5" s="4" t="s">
        <v>34</v>
      </c>
      <c r="G5" s="4" t="s">
        <v>35</v>
      </c>
      <c r="H5" s="4">
        <v>3</v>
      </c>
      <c r="I5" s="4">
        <v>59.99</v>
      </c>
      <c r="J5" s="4" t="s">
        <v>22</v>
      </c>
      <c r="K5" s="4" t="s">
        <v>42</v>
      </c>
      <c r="L5" s="4" t="s">
        <v>29</v>
      </c>
      <c r="M5" s="5">
        <v>45114</v>
      </c>
      <c r="N5" s="4">
        <v>179.97</v>
      </c>
    </row>
    <row r="6" spans="1:26" ht="14.4" x14ac:dyDescent="0.3">
      <c r="A6" s="4" t="s">
        <v>43</v>
      </c>
      <c r="B6" s="5">
        <v>45400</v>
      </c>
      <c r="C6" s="4" t="s">
        <v>44</v>
      </c>
      <c r="D6" s="4" t="s">
        <v>45</v>
      </c>
      <c r="E6" s="4" t="s">
        <v>46</v>
      </c>
      <c r="F6" s="4" t="s">
        <v>47</v>
      </c>
      <c r="G6" s="4" t="s">
        <v>48</v>
      </c>
      <c r="H6" s="4">
        <v>5</v>
      </c>
      <c r="I6" s="4">
        <v>149.99</v>
      </c>
      <c r="J6" s="4" t="s">
        <v>28</v>
      </c>
      <c r="K6" s="4" t="s">
        <v>42</v>
      </c>
      <c r="L6" s="4" t="s">
        <v>29</v>
      </c>
      <c r="M6" s="5">
        <v>45295</v>
      </c>
      <c r="N6" s="4">
        <v>749.95</v>
      </c>
    </row>
    <row r="7" spans="1:26" ht="14.4" x14ac:dyDescent="0.3">
      <c r="A7" s="4" t="s">
        <v>49</v>
      </c>
      <c r="B7" s="5">
        <v>45403</v>
      </c>
      <c r="C7" s="4" t="s">
        <v>50</v>
      </c>
      <c r="D7" s="4" t="s">
        <v>51</v>
      </c>
      <c r="E7" s="4" t="s">
        <v>33</v>
      </c>
      <c r="F7" s="4" t="s">
        <v>34</v>
      </c>
      <c r="G7" s="4" t="s">
        <v>35</v>
      </c>
      <c r="H7" s="4">
        <v>2</v>
      </c>
      <c r="I7" s="4">
        <v>59.99</v>
      </c>
      <c r="J7" s="4" t="s">
        <v>22</v>
      </c>
      <c r="K7" s="4" t="s">
        <v>52</v>
      </c>
      <c r="L7" s="4" t="s">
        <v>38</v>
      </c>
      <c r="M7" s="5">
        <v>44746</v>
      </c>
      <c r="N7" s="4">
        <v>119.98</v>
      </c>
    </row>
    <row r="8" spans="1:26" ht="14.4" x14ac:dyDescent="0.3">
      <c r="A8" s="4" t="s">
        <v>53</v>
      </c>
      <c r="B8" s="5">
        <v>45403</v>
      </c>
      <c r="C8" s="4" t="s">
        <v>50</v>
      </c>
      <c r="D8" s="4" t="s">
        <v>51</v>
      </c>
      <c r="E8" s="4" t="s">
        <v>54</v>
      </c>
      <c r="F8" s="4" t="s">
        <v>55</v>
      </c>
      <c r="G8" s="4" t="s">
        <v>21</v>
      </c>
      <c r="H8" s="4">
        <v>5</v>
      </c>
      <c r="I8" s="4">
        <v>149.99</v>
      </c>
      <c r="J8" s="4" t="s">
        <v>28</v>
      </c>
      <c r="K8" s="4" t="s">
        <v>23</v>
      </c>
      <c r="L8" s="4" t="s">
        <v>38</v>
      </c>
      <c r="M8" s="5">
        <v>44418</v>
      </c>
      <c r="N8" s="4">
        <v>749.95</v>
      </c>
    </row>
    <row r="9" spans="1:26" ht="14.4" x14ac:dyDescent="0.3">
      <c r="A9" s="4" t="s">
        <v>56</v>
      </c>
      <c r="B9" s="5">
        <v>45403</v>
      </c>
      <c r="C9" s="4" t="s">
        <v>57</v>
      </c>
      <c r="D9" s="4" t="s">
        <v>58</v>
      </c>
      <c r="E9" s="4" t="s">
        <v>33</v>
      </c>
      <c r="F9" s="4" t="s">
        <v>34</v>
      </c>
      <c r="G9" s="4" t="s">
        <v>35</v>
      </c>
      <c r="H9" s="4">
        <v>3</v>
      </c>
      <c r="I9" s="4">
        <v>59.99</v>
      </c>
      <c r="J9" s="4" t="s">
        <v>59</v>
      </c>
      <c r="K9" s="4" t="s">
        <v>37</v>
      </c>
      <c r="L9" s="4" t="s">
        <v>24</v>
      </c>
      <c r="M9" s="5">
        <v>45007</v>
      </c>
      <c r="N9" s="4">
        <v>179.97</v>
      </c>
    </row>
    <row r="10" spans="1:26" ht="14.4" x14ac:dyDescent="0.3">
      <c r="A10" s="4" t="s">
        <v>60</v>
      </c>
      <c r="B10" s="5">
        <v>45405</v>
      </c>
      <c r="C10" s="4" t="s">
        <v>61</v>
      </c>
      <c r="D10" s="4" t="s">
        <v>62</v>
      </c>
      <c r="E10" s="4" t="s">
        <v>63</v>
      </c>
      <c r="F10" s="4" t="s">
        <v>64</v>
      </c>
      <c r="G10" s="4" t="s">
        <v>21</v>
      </c>
      <c r="H10" s="4">
        <v>3</v>
      </c>
      <c r="I10" s="4">
        <v>899.99</v>
      </c>
      <c r="J10" s="4" t="s">
        <v>36</v>
      </c>
      <c r="K10" s="4" t="s">
        <v>65</v>
      </c>
      <c r="L10" s="4" t="s">
        <v>38</v>
      </c>
      <c r="M10" s="5">
        <v>45299</v>
      </c>
      <c r="N10" s="4">
        <v>2699.97</v>
      </c>
    </row>
    <row r="11" spans="1:26" ht="14.4" x14ac:dyDescent="0.3">
      <c r="A11" s="4" t="s">
        <v>66</v>
      </c>
      <c r="B11" s="5">
        <v>45408</v>
      </c>
      <c r="C11" s="4" t="s">
        <v>67</v>
      </c>
      <c r="D11" s="4" t="s">
        <v>68</v>
      </c>
      <c r="E11" s="4" t="s">
        <v>33</v>
      </c>
      <c r="F11" s="4" t="s">
        <v>34</v>
      </c>
      <c r="G11" s="4" t="s">
        <v>35</v>
      </c>
      <c r="H11" s="4">
        <v>3</v>
      </c>
      <c r="I11" s="4">
        <v>59.99</v>
      </c>
      <c r="J11" s="4" t="s">
        <v>22</v>
      </c>
      <c r="K11" s="4" t="s">
        <v>52</v>
      </c>
      <c r="L11" s="4" t="s">
        <v>29</v>
      </c>
      <c r="M11" s="5">
        <v>45207</v>
      </c>
      <c r="N11" s="4">
        <v>179.97</v>
      </c>
    </row>
    <row r="12" spans="1:26" ht="14.4" x14ac:dyDescent="0.3">
      <c r="A12" s="4" t="s">
        <v>69</v>
      </c>
      <c r="B12" s="5">
        <v>45408</v>
      </c>
      <c r="C12" s="4" t="s">
        <v>70</v>
      </c>
      <c r="D12" s="4" t="s">
        <v>71</v>
      </c>
      <c r="E12" s="4" t="s">
        <v>46</v>
      </c>
      <c r="F12" s="4" t="s">
        <v>47</v>
      </c>
      <c r="G12" s="4" t="s">
        <v>48</v>
      </c>
      <c r="H12" s="4">
        <v>1</v>
      </c>
      <c r="I12" s="4">
        <v>149.99</v>
      </c>
      <c r="J12" s="4" t="s">
        <v>28</v>
      </c>
      <c r="K12" s="4" t="s">
        <v>52</v>
      </c>
      <c r="L12" s="4" t="s">
        <v>38</v>
      </c>
      <c r="M12" s="5">
        <v>45103</v>
      </c>
      <c r="N12" s="4">
        <v>149.99</v>
      </c>
    </row>
    <row r="13" spans="1:26" ht="14.4" x14ac:dyDescent="0.3">
      <c r="A13" s="4" t="s">
        <v>72</v>
      </c>
      <c r="B13" s="5">
        <v>45408</v>
      </c>
      <c r="C13" s="4" t="s">
        <v>40</v>
      </c>
      <c r="D13" s="4" t="s">
        <v>41</v>
      </c>
      <c r="E13" s="4" t="s">
        <v>46</v>
      </c>
      <c r="F13" s="4" t="s">
        <v>47</v>
      </c>
      <c r="G13" s="4" t="s">
        <v>48</v>
      </c>
      <c r="H13" s="4">
        <v>5</v>
      </c>
      <c r="I13" s="4">
        <v>149.99</v>
      </c>
      <c r="J13" s="4" t="s">
        <v>59</v>
      </c>
      <c r="K13" s="4" t="s">
        <v>42</v>
      </c>
      <c r="L13" s="4" t="s">
        <v>24</v>
      </c>
      <c r="M13" s="5">
        <v>44830</v>
      </c>
      <c r="N13" s="4">
        <v>749.95</v>
      </c>
    </row>
    <row r="14" spans="1:26" ht="14.4" x14ac:dyDescent="0.3">
      <c r="A14" s="4" t="s">
        <v>73</v>
      </c>
      <c r="B14" s="5">
        <v>45408</v>
      </c>
      <c r="C14" s="4" t="s">
        <v>74</v>
      </c>
      <c r="D14" s="4" t="s">
        <v>75</v>
      </c>
      <c r="E14" s="4" t="s">
        <v>46</v>
      </c>
      <c r="F14" s="4" t="s">
        <v>47</v>
      </c>
      <c r="G14" s="4" t="s">
        <v>48</v>
      </c>
      <c r="H14" s="4">
        <v>3</v>
      </c>
      <c r="I14" s="4">
        <v>149.99</v>
      </c>
      <c r="J14" s="4" t="s">
        <v>22</v>
      </c>
      <c r="K14" s="4" t="s">
        <v>42</v>
      </c>
      <c r="L14" s="4" t="s">
        <v>29</v>
      </c>
      <c r="M14" s="5">
        <v>44806</v>
      </c>
      <c r="N14" s="4">
        <v>449.97</v>
      </c>
    </row>
    <row r="15" spans="1:26" ht="14.4" x14ac:dyDescent="0.3">
      <c r="A15" s="4" t="s">
        <v>76</v>
      </c>
      <c r="B15" s="5">
        <v>45409</v>
      </c>
      <c r="C15" s="4" t="s">
        <v>77</v>
      </c>
      <c r="D15" s="4" t="s">
        <v>78</v>
      </c>
      <c r="E15" s="4" t="s">
        <v>33</v>
      </c>
      <c r="F15" s="4" t="s">
        <v>34</v>
      </c>
      <c r="G15" s="4" t="s">
        <v>35</v>
      </c>
      <c r="H15" s="4">
        <v>3</v>
      </c>
      <c r="I15" s="4">
        <v>59.99</v>
      </c>
      <c r="J15" s="4" t="s">
        <v>28</v>
      </c>
      <c r="K15" s="4" t="s">
        <v>42</v>
      </c>
      <c r="L15" s="4" t="s">
        <v>38</v>
      </c>
      <c r="M15" s="5">
        <v>45351</v>
      </c>
      <c r="N15" s="4">
        <v>179.97</v>
      </c>
    </row>
    <row r="16" spans="1:26" ht="14.4" x14ac:dyDescent="0.3">
      <c r="A16" s="4" t="s">
        <v>79</v>
      </c>
      <c r="B16" s="5">
        <v>45409</v>
      </c>
      <c r="C16" s="4" t="s">
        <v>80</v>
      </c>
      <c r="D16" s="4" t="s">
        <v>81</v>
      </c>
      <c r="E16" s="4" t="s">
        <v>82</v>
      </c>
      <c r="F16" s="4" t="s">
        <v>83</v>
      </c>
      <c r="G16" s="4" t="s">
        <v>21</v>
      </c>
      <c r="H16" s="4">
        <v>3</v>
      </c>
      <c r="I16" s="4">
        <v>699.99</v>
      </c>
      <c r="J16" s="4" t="s">
        <v>28</v>
      </c>
      <c r="K16" s="4" t="s">
        <v>52</v>
      </c>
      <c r="L16" s="4" t="s">
        <v>24</v>
      </c>
      <c r="M16" s="5">
        <v>44577</v>
      </c>
      <c r="N16" s="4">
        <v>2099.9699999999998</v>
      </c>
    </row>
    <row r="17" spans="1:14" ht="14.4" x14ac:dyDescent="0.3">
      <c r="A17" s="4" t="s">
        <v>84</v>
      </c>
      <c r="B17" s="5">
        <v>45409</v>
      </c>
      <c r="C17" s="4" t="s">
        <v>85</v>
      </c>
      <c r="D17" s="4" t="s">
        <v>86</v>
      </c>
      <c r="E17" s="4" t="s">
        <v>63</v>
      </c>
      <c r="F17" s="4" t="s">
        <v>64</v>
      </c>
      <c r="G17" s="4" t="s">
        <v>21</v>
      </c>
      <c r="H17" s="4">
        <v>1</v>
      </c>
      <c r="I17" s="4">
        <v>899.99</v>
      </c>
      <c r="J17" s="4" t="s">
        <v>59</v>
      </c>
      <c r="K17" s="4" t="s">
        <v>42</v>
      </c>
      <c r="L17" s="4" t="s">
        <v>38</v>
      </c>
      <c r="M17" s="5">
        <v>44920</v>
      </c>
      <c r="N17" s="4">
        <v>899.99</v>
      </c>
    </row>
    <row r="18" spans="1:14" ht="14.4" x14ac:dyDescent="0.3">
      <c r="A18" s="4" t="s">
        <v>87</v>
      </c>
      <c r="B18" s="5">
        <v>45410</v>
      </c>
      <c r="C18" s="4" t="s">
        <v>88</v>
      </c>
      <c r="D18" s="4" t="s">
        <v>89</v>
      </c>
      <c r="E18" s="4" t="s">
        <v>46</v>
      </c>
      <c r="F18" s="4" t="s">
        <v>47</v>
      </c>
      <c r="G18" s="4" t="s">
        <v>48</v>
      </c>
      <c r="H18" s="4">
        <v>4</v>
      </c>
      <c r="I18" s="4">
        <v>149.99</v>
      </c>
      <c r="J18" s="4" t="s">
        <v>59</v>
      </c>
      <c r="K18" s="4" t="s">
        <v>42</v>
      </c>
      <c r="L18" s="4" t="s">
        <v>29</v>
      </c>
      <c r="M18" s="5">
        <v>45374</v>
      </c>
      <c r="N18" s="4">
        <v>599.96</v>
      </c>
    </row>
    <row r="19" spans="1:14" ht="14.4" x14ac:dyDescent="0.3">
      <c r="A19" s="4" t="s">
        <v>90</v>
      </c>
      <c r="B19" s="5">
        <v>45410</v>
      </c>
      <c r="C19" s="4" t="s">
        <v>91</v>
      </c>
      <c r="D19" s="4" t="s">
        <v>92</v>
      </c>
      <c r="E19" s="4" t="s">
        <v>82</v>
      </c>
      <c r="F19" s="4" t="s">
        <v>83</v>
      </c>
      <c r="G19" s="4" t="s">
        <v>21</v>
      </c>
      <c r="H19" s="4">
        <v>2</v>
      </c>
      <c r="I19" s="4">
        <v>699.99</v>
      </c>
      <c r="J19" s="4" t="s">
        <v>22</v>
      </c>
      <c r="K19" s="4" t="s">
        <v>42</v>
      </c>
      <c r="L19" s="4" t="s">
        <v>24</v>
      </c>
      <c r="M19" s="5">
        <v>44781</v>
      </c>
      <c r="N19" s="4">
        <v>1399.98</v>
      </c>
    </row>
    <row r="20" spans="1:14" ht="14.4" x14ac:dyDescent="0.3">
      <c r="A20" s="4" t="s">
        <v>93</v>
      </c>
      <c r="B20" s="5">
        <v>45410</v>
      </c>
      <c r="C20" s="4" t="s">
        <v>88</v>
      </c>
      <c r="D20" s="4" t="s">
        <v>89</v>
      </c>
      <c r="E20" s="4" t="s">
        <v>63</v>
      </c>
      <c r="F20" s="4" t="s">
        <v>64</v>
      </c>
      <c r="G20" s="4" t="s">
        <v>21</v>
      </c>
      <c r="H20" s="4">
        <v>4</v>
      </c>
      <c r="I20" s="4">
        <v>899.99</v>
      </c>
      <c r="J20" s="4" t="s">
        <v>28</v>
      </c>
      <c r="K20" s="4" t="s">
        <v>52</v>
      </c>
      <c r="L20" s="4" t="s">
        <v>38</v>
      </c>
      <c r="M20" s="5">
        <v>45327</v>
      </c>
      <c r="N20" s="4">
        <v>3599.96</v>
      </c>
    </row>
    <row r="21" spans="1:14" ht="15.75" customHeight="1" x14ac:dyDescent="0.3">
      <c r="A21" s="4" t="s">
        <v>94</v>
      </c>
      <c r="B21" s="5">
        <v>45410</v>
      </c>
      <c r="C21" s="4" t="s">
        <v>95</v>
      </c>
      <c r="D21" s="4" t="s">
        <v>96</v>
      </c>
      <c r="E21" s="4" t="s">
        <v>19</v>
      </c>
      <c r="F21" s="4" t="s">
        <v>20</v>
      </c>
      <c r="G21" s="4" t="s">
        <v>21</v>
      </c>
      <c r="H21" s="4">
        <v>3</v>
      </c>
      <c r="I21" s="4">
        <v>249.99</v>
      </c>
      <c r="J21" s="4" t="s">
        <v>28</v>
      </c>
      <c r="K21" s="4" t="s">
        <v>42</v>
      </c>
      <c r="L21" s="4" t="s">
        <v>29</v>
      </c>
      <c r="M21" s="5">
        <v>45224</v>
      </c>
      <c r="N21" s="4">
        <v>749.97</v>
      </c>
    </row>
    <row r="22" spans="1:14" ht="15.75" customHeight="1" x14ac:dyDescent="0.3">
      <c r="A22" s="4" t="s">
        <v>97</v>
      </c>
      <c r="B22" s="5">
        <v>45412</v>
      </c>
      <c r="C22" s="4" t="s">
        <v>98</v>
      </c>
      <c r="D22" s="4" t="s">
        <v>99</v>
      </c>
      <c r="E22" s="4" t="s">
        <v>82</v>
      </c>
      <c r="F22" s="4" t="s">
        <v>83</v>
      </c>
      <c r="G22" s="4" t="s">
        <v>21</v>
      </c>
      <c r="H22" s="4">
        <v>5</v>
      </c>
      <c r="I22" s="4">
        <v>699.99</v>
      </c>
      <c r="J22" s="4" t="s">
        <v>22</v>
      </c>
      <c r="K22" s="4" t="s">
        <v>52</v>
      </c>
      <c r="L22" s="4" t="s">
        <v>24</v>
      </c>
      <c r="M22" s="5">
        <v>45167</v>
      </c>
      <c r="N22" s="4">
        <v>3499.95</v>
      </c>
    </row>
    <row r="23" spans="1:14" ht="15.75" customHeight="1" x14ac:dyDescent="0.3">
      <c r="A23" s="4" t="s">
        <v>100</v>
      </c>
      <c r="B23" s="5">
        <v>45413</v>
      </c>
      <c r="C23" s="4" t="s">
        <v>101</v>
      </c>
      <c r="D23" s="4" t="s">
        <v>102</v>
      </c>
      <c r="E23" s="4" t="s">
        <v>82</v>
      </c>
      <c r="F23" s="4" t="s">
        <v>83</v>
      </c>
      <c r="G23" s="4" t="s">
        <v>21</v>
      </c>
      <c r="H23" s="4">
        <v>4</v>
      </c>
      <c r="I23" s="4">
        <v>699.99</v>
      </c>
      <c r="J23" s="4" t="s">
        <v>22</v>
      </c>
      <c r="K23" s="4" t="s">
        <v>65</v>
      </c>
      <c r="L23" s="4" t="s">
        <v>38</v>
      </c>
      <c r="M23" s="5">
        <v>44409</v>
      </c>
      <c r="N23" s="4">
        <v>2799.96</v>
      </c>
    </row>
    <row r="24" spans="1:14" ht="15.75" customHeight="1" x14ac:dyDescent="0.3">
      <c r="A24" s="4" t="s">
        <v>103</v>
      </c>
      <c r="B24" s="5">
        <v>45415</v>
      </c>
      <c r="C24" s="4" t="s">
        <v>104</v>
      </c>
      <c r="D24" s="4" t="s">
        <v>105</v>
      </c>
      <c r="E24" s="4" t="s">
        <v>19</v>
      </c>
      <c r="F24" s="4" t="s">
        <v>20</v>
      </c>
      <c r="G24" s="4" t="s">
        <v>21</v>
      </c>
      <c r="H24" s="4">
        <v>4</v>
      </c>
      <c r="I24" s="4">
        <v>249.99</v>
      </c>
      <c r="J24" s="4" t="s">
        <v>36</v>
      </c>
      <c r="K24" s="4" t="s">
        <v>42</v>
      </c>
      <c r="L24" s="4" t="s">
        <v>38</v>
      </c>
      <c r="M24" s="5">
        <v>44468</v>
      </c>
      <c r="N24" s="4">
        <v>999.96</v>
      </c>
    </row>
    <row r="25" spans="1:14" ht="15.75" customHeight="1" x14ac:dyDescent="0.3">
      <c r="A25" s="4" t="s">
        <v>106</v>
      </c>
      <c r="B25" s="5">
        <v>45416</v>
      </c>
      <c r="C25" s="4" t="s">
        <v>88</v>
      </c>
      <c r="D25" s="4" t="s">
        <v>89</v>
      </c>
      <c r="E25" s="4" t="s">
        <v>107</v>
      </c>
      <c r="F25" s="4" t="s">
        <v>108</v>
      </c>
      <c r="G25" s="4" t="s">
        <v>48</v>
      </c>
      <c r="H25" s="4">
        <v>4</v>
      </c>
      <c r="I25" s="4">
        <v>299.99</v>
      </c>
      <c r="J25" s="4" t="s">
        <v>22</v>
      </c>
      <c r="K25" s="4" t="s">
        <v>52</v>
      </c>
      <c r="L25" s="4" t="s">
        <v>29</v>
      </c>
      <c r="M25" s="5">
        <v>44716</v>
      </c>
      <c r="N25" s="4">
        <v>1199.96</v>
      </c>
    </row>
    <row r="26" spans="1:14" ht="15.75" customHeight="1" x14ac:dyDescent="0.3">
      <c r="A26" s="4" t="s">
        <v>109</v>
      </c>
      <c r="B26" s="5">
        <v>45422</v>
      </c>
      <c r="C26" s="4" t="s">
        <v>110</v>
      </c>
      <c r="D26" s="4" t="s">
        <v>111</v>
      </c>
      <c r="E26" s="4" t="s">
        <v>19</v>
      </c>
      <c r="F26" s="4" t="s">
        <v>20</v>
      </c>
      <c r="G26" s="4" t="s">
        <v>21</v>
      </c>
      <c r="H26" s="4">
        <v>5</v>
      </c>
      <c r="I26" s="4">
        <v>249.99</v>
      </c>
      <c r="J26" s="4" t="s">
        <v>28</v>
      </c>
      <c r="K26" s="4" t="s">
        <v>52</v>
      </c>
      <c r="L26" s="4" t="s">
        <v>38</v>
      </c>
      <c r="M26" s="5">
        <v>44525</v>
      </c>
      <c r="N26" s="4">
        <v>1249.95</v>
      </c>
    </row>
    <row r="27" spans="1:14" ht="15.75" customHeight="1" x14ac:dyDescent="0.3">
      <c r="A27" s="4" t="s">
        <v>112</v>
      </c>
      <c r="B27" s="5">
        <v>45424</v>
      </c>
      <c r="C27" s="4" t="s">
        <v>70</v>
      </c>
      <c r="D27" s="4" t="s">
        <v>71</v>
      </c>
      <c r="E27" s="4" t="s">
        <v>107</v>
      </c>
      <c r="F27" s="4" t="s">
        <v>108</v>
      </c>
      <c r="G27" s="4" t="s">
        <v>48</v>
      </c>
      <c r="H27" s="4">
        <v>5</v>
      </c>
      <c r="I27" s="4">
        <v>299.99</v>
      </c>
      <c r="J27" s="4" t="s">
        <v>36</v>
      </c>
      <c r="K27" s="4" t="s">
        <v>65</v>
      </c>
      <c r="L27" s="4" t="s">
        <v>24</v>
      </c>
      <c r="M27" s="5">
        <v>45168</v>
      </c>
      <c r="N27" s="4">
        <v>1499.95</v>
      </c>
    </row>
    <row r="28" spans="1:14" ht="15.75" customHeight="1" x14ac:dyDescent="0.3">
      <c r="A28" s="4" t="s">
        <v>113</v>
      </c>
      <c r="B28" s="5">
        <v>45424</v>
      </c>
      <c r="C28" s="4" t="s">
        <v>114</v>
      </c>
      <c r="D28" s="4" t="s">
        <v>115</v>
      </c>
      <c r="E28" s="4" t="s">
        <v>116</v>
      </c>
      <c r="F28" s="4" t="s">
        <v>117</v>
      </c>
      <c r="G28" s="4" t="s">
        <v>35</v>
      </c>
      <c r="H28" s="4">
        <v>3</v>
      </c>
      <c r="I28" s="4">
        <v>79.989999999999995</v>
      </c>
      <c r="J28" s="4" t="s">
        <v>36</v>
      </c>
      <c r="K28" s="4" t="s">
        <v>65</v>
      </c>
      <c r="L28" s="4" t="s">
        <v>29</v>
      </c>
      <c r="M28" s="5">
        <v>45012</v>
      </c>
      <c r="N28" s="4">
        <v>239.97</v>
      </c>
    </row>
    <row r="29" spans="1:14" ht="15.75" customHeight="1" x14ac:dyDescent="0.3">
      <c r="A29" s="4" t="s">
        <v>118</v>
      </c>
      <c r="B29" s="5">
        <v>45424</v>
      </c>
      <c r="C29" s="4" t="s">
        <v>101</v>
      </c>
      <c r="D29" s="4" t="s">
        <v>102</v>
      </c>
      <c r="E29" s="4" t="s">
        <v>119</v>
      </c>
      <c r="F29" s="4" t="s">
        <v>120</v>
      </c>
      <c r="G29" s="4" t="s">
        <v>21</v>
      </c>
      <c r="H29" s="4">
        <v>5</v>
      </c>
      <c r="I29" s="4">
        <v>89.99</v>
      </c>
      <c r="J29" s="4" t="s">
        <v>22</v>
      </c>
      <c r="K29" s="4" t="s">
        <v>42</v>
      </c>
      <c r="L29" s="4" t="s">
        <v>29</v>
      </c>
      <c r="M29" s="5">
        <v>44919</v>
      </c>
      <c r="N29" s="4">
        <v>449.95</v>
      </c>
    </row>
    <row r="30" spans="1:14" ht="15.75" customHeight="1" x14ac:dyDescent="0.3">
      <c r="A30" s="4" t="s">
        <v>121</v>
      </c>
      <c r="B30" s="5">
        <v>45425</v>
      </c>
      <c r="C30" s="4" t="s">
        <v>122</v>
      </c>
      <c r="D30" s="4" t="s">
        <v>123</v>
      </c>
      <c r="E30" s="4" t="s">
        <v>33</v>
      </c>
      <c r="F30" s="4" t="s">
        <v>34</v>
      </c>
      <c r="G30" s="4" t="s">
        <v>35</v>
      </c>
      <c r="H30" s="4">
        <v>2</v>
      </c>
      <c r="I30" s="4">
        <v>59.99</v>
      </c>
      <c r="J30" s="4" t="s">
        <v>59</v>
      </c>
      <c r="K30" s="4" t="s">
        <v>23</v>
      </c>
      <c r="L30" s="4" t="s">
        <v>38</v>
      </c>
      <c r="M30" s="5">
        <v>45214</v>
      </c>
      <c r="N30" s="4">
        <v>119.98</v>
      </c>
    </row>
    <row r="31" spans="1:14" ht="15.75" customHeight="1" x14ac:dyDescent="0.3">
      <c r="A31" s="4" t="s">
        <v>124</v>
      </c>
      <c r="B31" s="5">
        <v>45427</v>
      </c>
      <c r="C31" s="4" t="s">
        <v>125</v>
      </c>
      <c r="D31" s="4" t="s">
        <v>126</v>
      </c>
      <c r="E31" s="4" t="s">
        <v>33</v>
      </c>
      <c r="F31" s="4" t="s">
        <v>34</v>
      </c>
      <c r="G31" s="4" t="s">
        <v>35</v>
      </c>
      <c r="H31" s="4">
        <v>4</v>
      </c>
      <c r="I31" s="4">
        <v>59.99</v>
      </c>
      <c r="J31" s="4" t="s">
        <v>59</v>
      </c>
      <c r="K31" s="4" t="s">
        <v>65</v>
      </c>
      <c r="L31" s="4" t="s">
        <v>38</v>
      </c>
      <c r="M31" s="5">
        <v>44867</v>
      </c>
      <c r="N31" s="4">
        <v>239.96</v>
      </c>
    </row>
    <row r="32" spans="1:14" ht="15.75" customHeight="1" x14ac:dyDescent="0.3">
      <c r="A32" s="4" t="s">
        <v>127</v>
      </c>
      <c r="B32" s="5">
        <v>45427</v>
      </c>
      <c r="C32" s="4" t="s">
        <v>57</v>
      </c>
      <c r="D32" s="4" t="s">
        <v>58</v>
      </c>
      <c r="E32" s="4" t="s">
        <v>128</v>
      </c>
      <c r="F32" s="4" t="s">
        <v>129</v>
      </c>
      <c r="G32" s="4" t="s">
        <v>48</v>
      </c>
      <c r="H32" s="4">
        <v>5</v>
      </c>
      <c r="I32" s="4">
        <v>199.99</v>
      </c>
      <c r="J32" s="4" t="s">
        <v>22</v>
      </c>
      <c r="K32" s="4" t="s">
        <v>37</v>
      </c>
      <c r="L32" s="4" t="s">
        <v>38</v>
      </c>
      <c r="M32" s="5">
        <v>44412</v>
      </c>
      <c r="N32" s="4">
        <v>999.95</v>
      </c>
    </row>
    <row r="33" spans="1:14" ht="15.75" customHeight="1" x14ac:dyDescent="0.3">
      <c r="A33" s="4" t="s">
        <v>130</v>
      </c>
      <c r="B33" s="5">
        <v>45428</v>
      </c>
      <c r="C33" s="4" t="s">
        <v>131</v>
      </c>
      <c r="D33" s="4" t="s">
        <v>132</v>
      </c>
      <c r="E33" s="4" t="s">
        <v>46</v>
      </c>
      <c r="F33" s="4" t="s">
        <v>47</v>
      </c>
      <c r="G33" s="4" t="s">
        <v>48</v>
      </c>
      <c r="H33" s="4">
        <v>2</v>
      </c>
      <c r="I33" s="4">
        <v>149.99</v>
      </c>
      <c r="J33" s="4" t="s">
        <v>28</v>
      </c>
      <c r="K33" s="4" t="s">
        <v>52</v>
      </c>
      <c r="L33" s="4" t="s">
        <v>24</v>
      </c>
      <c r="M33" s="5">
        <v>44823</v>
      </c>
      <c r="N33" s="4">
        <v>299.98</v>
      </c>
    </row>
    <row r="34" spans="1:14" ht="15.75" customHeight="1" x14ac:dyDescent="0.3">
      <c r="A34" s="4" t="s">
        <v>133</v>
      </c>
      <c r="B34" s="5">
        <v>45430</v>
      </c>
      <c r="C34" s="4" t="s">
        <v>134</v>
      </c>
      <c r="D34" s="4" t="s">
        <v>135</v>
      </c>
      <c r="E34" s="4" t="s">
        <v>46</v>
      </c>
      <c r="F34" s="4" t="s">
        <v>47</v>
      </c>
      <c r="G34" s="4" t="s">
        <v>48</v>
      </c>
      <c r="H34" s="4">
        <v>3</v>
      </c>
      <c r="I34" s="4">
        <v>149.99</v>
      </c>
      <c r="J34" s="4" t="s">
        <v>28</v>
      </c>
      <c r="K34" s="4" t="s">
        <v>52</v>
      </c>
      <c r="L34" s="4" t="s">
        <v>29</v>
      </c>
      <c r="M34" s="5">
        <v>45068</v>
      </c>
      <c r="N34" s="4">
        <v>449.97</v>
      </c>
    </row>
    <row r="35" spans="1:14" ht="15.75" customHeight="1" x14ac:dyDescent="0.3">
      <c r="A35" s="4" t="s">
        <v>136</v>
      </c>
      <c r="B35" s="5">
        <v>45432</v>
      </c>
      <c r="C35" s="4" t="s">
        <v>31</v>
      </c>
      <c r="D35" s="4" t="s">
        <v>32</v>
      </c>
      <c r="E35" s="4" t="s">
        <v>63</v>
      </c>
      <c r="F35" s="4" t="s">
        <v>64</v>
      </c>
      <c r="G35" s="4" t="s">
        <v>21</v>
      </c>
      <c r="H35" s="4">
        <v>1</v>
      </c>
      <c r="I35" s="4">
        <v>899.99</v>
      </c>
      <c r="J35" s="4" t="s">
        <v>28</v>
      </c>
      <c r="K35" s="4" t="s">
        <v>52</v>
      </c>
      <c r="L35" s="4" t="s">
        <v>29</v>
      </c>
      <c r="M35" s="5">
        <v>44578</v>
      </c>
      <c r="N35" s="4">
        <v>899.99</v>
      </c>
    </row>
    <row r="36" spans="1:14" ht="15.75" customHeight="1" x14ac:dyDescent="0.3">
      <c r="A36" s="4" t="s">
        <v>137</v>
      </c>
      <c r="B36" s="5">
        <v>45434</v>
      </c>
      <c r="C36" s="4" t="s">
        <v>101</v>
      </c>
      <c r="D36" s="4" t="s">
        <v>102</v>
      </c>
      <c r="E36" s="4" t="s">
        <v>107</v>
      </c>
      <c r="F36" s="4" t="s">
        <v>108</v>
      </c>
      <c r="G36" s="4" t="s">
        <v>48</v>
      </c>
      <c r="H36" s="4">
        <v>3</v>
      </c>
      <c r="I36" s="4">
        <v>299.99</v>
      </c>
      <c r="J36" s="4" t="s">
        <v>28</v>
      </c>
      <c r="K36" s="4" t="s">
        <v>65</v>
      </c>
      <c r="L36" s="4" t="s">
        <v>24</v>
      </c>
      <c r="M36" s="5">
        <v>44824</v>
      </c>
      <c r="N36" s="4">
        <v>899.97</v>
      </c>
    </row>
    <row r="37" spans="1:14" ht="15.75" customHeight="1" x14ac:dyDescent="0.3">
      <c r="A37" s="4" t="s">
        <v>138</v>
      </c>
      <c r="B37" s="5">
        <v>45435</v>
      </c>
      <c r="C37" s="4" t="s">
        <v>131</v>
      </c>
      <c r="D37" s="4" t="s">
        <v>132</v>
      </c>
      <c r="E37" s="4" t="s">
        <v>116</v>
      </c>
      <c r="F37" s="4" t="s">
        <v>117</v>
      </c>
      <c r="G37" s="4" t="s">
        <v>35</v>
      </c>
      <c r="H37" s="4">
        <v>3</v>
      </c>
      <c r="I37" s="4">
        <v>79.989999999999995</v>
      </c>
      <c r="J37" s="4" t="s">
        <v>22</v>
      </c>
      <c r="K37" s="4" t="s">
        <v>37</v>
      </c>
      <c r="L37" s="4" t="s">
        <v>24</v>
      </c>
      <c r="M37" s="5">
        <v>45046</v>
      </c>
      <c r="N37" s="4">
        <v>239.97</v>
      </c>
    </row>
    <row r="38" spans="1:14" ht="15.75" customHeight="1" x14ac:dyDescent="0.3">
      <c r="A38" s="4" t="s">
        <v>139</v>
      </c>
      <c r="B38" s="5">
        <v>45438</v>
      </c>
      <c r="C38" s="4" t="s">
        <v>140</v>
      </c>
      <c r="D38" s="4" t="s">
        <v>141</v>
      </c>
      <c r="E38" s="4" t="s">
        <v>128</v>
      </c>
      <c r="F38" s="4" t="s">
        <v>129</v>
      </c>
      <c r="G38" s="4" t="s">
        <v>48</v>
      </c>
      <c r="H38" s="4">
        <v>3</v>
      </c>
      <c r="I38" s="4">
        <v>199.99</v>
      </c>
      <c r="J38" s="4" t="s">
        <v>28</v>
      </c>
      <c r="K38" s="4" t="s">
        <v>42</v>
      </c>
      <c r="L38" s="4" t="s">
        <v>29</v>
      </c>
      <c r="M38" s="5">
        <v>45292</v>
      </c>
      <c r="N38" s="4">
        <v>599.97</v>
      </c>
    </row>
    <row r="39" spans="1:14" ht="15.75" customHeight="1" x14ac:dyDescent="0.3">
      <c r="A39" s="4" t="s">
        <v>142</v>
      </c>
      <c r="B39" s="5">
        <v>45440</v>
      </c>
      <c r="C39" s="4" t="s">
        <v>143</v>
      </c>
      <c r="D39" s="4" t="s">
        <v>144</v>
      </c>
      <c r="E39" s="4" t="s">
        <v>82</v>
      </c>
      <c r="F39" s="4" t="s">
        <v>83</v>
      </c>
      <c r="G39" s="4" t="s">
        <v>21</v>
      </c>
      <c r="H39" s="4">
        <v>5</v>
      </c>
      <c r="I39" s="4">
        <v>699.99</v>
      </c>
      <c r="J39" s="4" t="s">
        <v>36</v>
      </c>
      <c r="K39" s="4" t="s">
        <v>52</v>
      </c>
      <c r="L39" s="4" t="s">
        <v>38</v>
      </c>
      <c r="M39" s="5">
        <v>44407</v>
      </c>
      <c r="N39" s="4">
        <v>3499.95</v>
      </c>
    </row>
    <row r="40" spans="1:14" ht="15.75" customHeight="1" x14ac:dyDescent="0.3">
      <c r="A40" s="4" t="s">
        <v>145</v>
      </c>
      <c r="B40" s="5">
        <v>45441</v>
      </c>
      <c r="C40" s="4" t="s">
        <v>146</v>
      </c>
      <c r="D40" s="4" t="s">
        <v>147</v>
      </c>
      <c r="E40" s="4" t="s">
        <v>119</v>
      </c>
      <c r="F40" s="4" t="s">
        <v>120</v>
      </c>
      <c r="G40" s="4" t="s">
        <v>21</v>
      </c>
      <c r="H40" s="4">
        <v>3</v>
      </c>
      <c r="I40" s="4">
        <v>89.99</v>
      </c>
      <c r="J40" s="4" t="s">
        <v>36</v>
      </c>
      <c r="K40" s="4" t="s">
        <v>23</v>
      </c>
      <c r="L40" s="4" t="s">
        <v>29</v>
      </c>
      <c r="M40" s="5">
        <v>45120</v>
      </c>
      <c r="N40" s="4">
        <v>269.97000000000003</v>
      </c>
    </row>
    <row r="41" spans="1:14" ht="15.75" customHeight="1" x14ac:dyDescent="0.3">
      <c r="A41" s="4" t="s">
        <v>148</v>
      </c>
      <c r="B41" s="5">
        <v>45443</v>
      </c>
      <c r="C41" s="4" t="s">
        <v>149</v>
      </c>
      <c r="D41" s="4" t="s">
        <v>150</v>
      </c>
      <c r="E41" s="4" t="s">
        <v>116</v>
      </c>
      <c r="F41" s="4" t="s">
        <v>117</v>
      </c>
      <c r="G41" s="4" t="s">
        <v>35</v>
      </c>
      <c r="H41" s="4">
        <v>1</v>
      </c>
      <c r="I41" s="4">
        <v>79.989999999999995</v>
      </c>
      <c r="J41" s="4" t="s">
        <v>22</v>
      </c>
      <c r="K41" s="4" t="s">
        <v>42</v>
      </c>
      <c r="L41" s="4" t="s">
        <v>38</v>
      </c>
      <c r="M41" s="5">
        <v>44917</v>
      </c>
      <c r="N41" s="4">
        <v>79.989999999999995</v>
      </c>
    </row>
    <row r="42" spans="1:14" ht="15.75" customHeight="1" x14ac:dyDescent="0.3">
      <c r="A42" s="4" t="s">
        <v>151</v>
      </c>
      <c r="B42" s="5">
        <v>45444</v>
      </c>
      <c r="C42" s="4" t="s">
        <v>152</v>
      </c>
      <c r="D42" s="4" t="s">
        <v>153</v>
      </c>
      <c r="E42" s="4" t="s">
        <v>33</v>
      </c>
      <c r="F42" s="4" t="s">
        <v>34</v>
      </c>
      <c r="G42" s="4" t="s">
        <v>35</v>
      </c>
      <c r="H42" s="4">
        <v>2</v>
      </c>
      <c r="I42" s="4">
        <v>59.99</v>
      </c>
      <c r="J42" s="4" t="s">
        <v>22</v>
      </c>
      <c r="K42" s="4" t="s">
        <v>52</v>
      </c>
      <c r="L42" s="4" t="s">
        <v>24</v>
      </c>
      <c r="M42" s="5">
        <v>45390</v>
      </c>
      <c r="N42" s="4">
        <v>119.98</v>
      </c>
    </row>
    <row r="43" spans="1:14" ht="15.75" customHeight="1" x14ac:dyDescent="0.3">
      <c r="A43" s="4" t="s">
        <v>154</v>
      </c>
      <c r="B43" s="5">
        <v>45444</v>
      </c>
      <c r="C43" s="4" t="s">
        <v>57</v>
      </c>
      <c r="D43" s="4" t="s">
        <v>58</v>
      </c>
      <c r="E43" s="4" t="s">
        <v>119</v>
      </c>
      <c r="F43" s="4" t="s">
        <v>120</v>
      </c>
      <c r="G43" s="4" t="s">
        <v>21</v>
      </c>
      <c r="H43" s="4">
        <v>1</v>
      </c>
      <c r="I43" s="4">
        <v>89.99</v>
      </c>
      <c r="J43" s="4" t="s">
        <v>22</v>
      </c>
      <c r="K43" s="4" t="s">
        <v>42</v>
      </c>
      <c r="L43" s="4" t="s">
        <v>24</v>
      </c>
      <c r="M43" s="5">
        <v>45141</v>
      </c>
      <c r="N43" s="4">
        <v>89.99</v>
      </c>
    </row>
    <row r="44" spans="1:14" ht="15.75" customHeight="1" x14ac:dyDescent="0.3">
      <c r="A44" s="4" t="s">
        <v>155</v>
      </c>
      <c r="B44" s="5">
        <v>45446</v>
      </c>
      <c r="C44" s="4" t="s">
        <v>156</v>
      </c>
      <c r="D44" s="4" t="s">
        <v>157</v>
      </c>
      <c r="E44" s="4" t="s">
        <v>119</v>
      </c>
      <c r="F44" s="4" t="s">
        <v>120</v>
      </c>
      <c r="G44" s="4" t="s">
        <v>21</v>
      </c>
      <c r="H44" s="4">
        <v>5</v>
      </c>
      <c r="I44" s="4">
        <v>89.99</v>
      </c>
      <c r="J44" s="4" t="s">
        <v>28</v>
      </c>
      <c r="K44" s="4" t="s">
        <v>65</v>
      </c>
      <c r="L44" s="4" t="s">
        <v>38</v>
      </c>
      <c r="M44" s="5">
        <v>44587</v>
      </c>
      <c r="N44" s="4">
        <v>449.95</v>
      </c>
    </row>
    <row r="45" spans="1:14" ht="15.75" customHeight="1" x14ac:dyDescent="0.3">
      <c r="A45" s="4" t="s">
        <v>158</v>
      </c>
      <c r="B45" s="5">
        <v>45449</v>
      </c>
      <c r="C45" s="4" t="s">
        <v>26</v>
      </c>
      <c r="D45" s="4" t="s">
        <v>27</v>
      </c>
      <c r="E45" s="4" t="s">
        <v>19</v>
      </c>
      <c r="F45" s="4" t="s">
        <v>20</v>
      </c>
      <c r="G45" s="4" t="s">
        <v>21</v>
      </c>
      <c r="H45" s="4">
        <v>5</v>
      </c>
      <c r="I45" s="4">
        <v>249.99</v>
      </c>
      <c r="J45" s="4" t="s">
        <v>28</v>
      </c>
      <c r="K45" s="4" t="s">
        <v>65</v>
      </c>
      <c r="L45" s="4" t="s">
        <v>38</v>
      </c>
      <c r="M45" s="5">
        <v>44707</v>
      </c>
      <c r="N45" s="4">
        <v>1249.95</v>
      </c>
    </row>
    <row r="46" spans="1:14" ht="15.75" customHeight="1" x14ac:dyDescent="0.3">
      <c r="A46" s="4" t="s">
        <v>159</v>
      </c>
      <c r="B46" s="5">
        <v>45449</v>
      </c>
      <c r="C46" s="4" t="s">
        <v>160</v>
      </c>
      <c r="D46" s="4" t="s">
        <v>161</v>
      </c>
      <c r="E46" s="4" t="s">
        <v>119</v>
      </c>
      <c r="F46" s="4" t="s">
        <v>120</v>
      </c>
      <c r="G46" s="4" t="s">
        <v>21</v>
      </c>
      <c r="H46" s="4">
        <v>1</v>
      </c>
      <c r="I46" s="4">
        <v>89.99</v>
      </c>
      <c r="J46" s="4" t="s">
        <v>28</v>
      </c>
      <c r="K46" s="4" t="s">
        <v>37</v>
      </c>
      <c r="L46" s="4" t="s">
        <v>38</v>
      </c>
      <c r="M46" s="5">
        <v>44582</v>
      </c>
      <c r="N46" s="4">
        <v>89.99</v>
      </c>
    </row>
    <row r="47" spans="1:14" ht="15.75" customHeight="1" x14ac:dyDescent="0.3">
      <c r="A47" s="4" t="s">
        <v>162</v>
      </c>
      <c r="B47" s="5">
        <v>45450</v>
      </c>
      <c r="C47" s="4" t="s">
        <v>44</v>
      </c>
      <c r="D47" s="4" t="s">
        <v>45</v>
      </c>
      <c r="E47" s="4" t="s">
        <v>46</v>
      </c>
      <c r="F47" s="4" t="s">
        <v>47</v>
      </c>
      <c r="G47" s="4" t="s">
        <v>48</v>
      </c>
      <c r="H47" s="4">
        <v>2</v>
      </c>
      <c r="I47" s="4">
        <v>149.99</v>
      </c>
      <c r="J47" s="4" t="s">
        <v>22</v>
      </c>
      <c r="K47" s="4" t="s">
        <v>65</v>
      </c>
      <c r="L47" s="4" t="s">
        <v>29</v>
      </c>
      <c r="M47" s="5">
        <v>44645</v>
      </c>
      <c r="N47" s="4">
        <v>299.98</v>
      </c>
    </row>
    <row r="48" spans="1:14" ht="15.75" customHeight="1" x14ac:dyDescent="0.3">
      <c r="A48" s="4" t="s">
        <v>163</v>
      </c>
      <c r="B48" s="5">
        <v>45452</v>
      </c>
      <c r="C48" s="4" t="s">
        <v>164</v>
      </c>
      <c r="D48" s="4" t="s">
        <v>165</v>
      </c>
      <c r="E48" s="4" t="s">
        <v>33</v>
      </c>
      <c r="F48" s="4" t="s">
        <v>34</v>
      </c>
      <c r="G48" s="4" t="s">
        <v>35</v>
      </c>
      <c r="H48" s="4">
        <v>4</v>
      </c>
      <c r="I48" s="4">
        <v>59.99</v>
      </c>
      <c r="J48" s="4" t="s">
        <v>22</v>
      </c>
      <c r="K48" s="4" t="s">
        <v>65</v>
      </c>
      <c r="L48" s="4" t="s">
        <v>38</v>
      </c>
      <c r="M48" s="5">
        <v>44435</v>
      </c>
      <c r="N48" s="4">
        <v>239.96</v>
      </c>
    </row>
    <row r="49" spans="1:14" ht="15.75" customHeight="1" x14ac:dyDescent="0.3">
      <c r="A49" s="4" t="s">
        <v>166</v>
      </c>
      <c r="B49" s="5">
        <v>45456</v>
      </c>
      <c r="C49" s="4" t="s">
        <v>131</v>
      </c>
      <c r="D49" s="4" t="s">
        <v>132</v>
      </c>
      <c r="E49" s="4" t="s">
        <v>119</v>
      </c>
      <c r="F49" s="4" t="s">
        <v>120</v>
      </c>
      <c r="G49" s="4" t="s">
        <v>21</v>
      </c>
      <c r="H49" s="4">
        <v>5</v>
      </c>
      <c r="I49" s="4">
        <v>89.99</v>
      </c>
      <c r="J49" s="4" t="s">
        <v>22</v>
      </c>
      <c r="K49" s="4" t="s">
        <v>23</v>
      </c>
      <c r="L49" s="4" t="s">
        <v>29</v>
      </c>
      <c r="M49" s="5">
        <v>44579</v>
      </c>
      <c r="N49" s="4">
        <v>449.95</v>
      </c>
    </row>
    <row r="50" spans="1:14" ht="15.75" customHeight="1" x14ac:dyDescent="0.3">
      <c r="A50" s="4" t="s">
        <v>167</v>
      </c>
      <c r="B50" s="5">
        <v>45459</v>
      </c>
      <c r="C50" s="4" t="s">
        <v>101</v>
      </c>
      <c r="D50" s="4" t="s">
        <v>102</v>
      </c>
      <c r="E50" s="4" t="s">
        <v>119</v>
      </c>
      <c r="F50" s="4" t="s">
        <v>120</v>
      </c>
      <c r="G50" s="4" t="s">
        <v>21</v>
      </c>
      <c r="H50" s="4">
        <v>2</v>
      </c>
      <c r="I50" s="4">
        <v>89.99</v>
      </c>
      <c r="J50" s="4" t="s">
        <v>28</v>
      </c>
      <c r="K50" s="4" t="s">
        <v>37</v>
      </c>
      <c r="L50" s="4" t="s">
        <v>29</v>
      </c>
      <c r="M50" s="5">
        <v>44471</v>
      </c>
      <c r="N50" s="4">
        <v>179.98</v>
      </c>
    </row>
    <row r="51" spans="1:14" ht="15.75" customHeight="1" x14ac:dyDescent="0.3">
      <c r="A51" s="4" t="s">
        <v>168</v>
      </c>
      <c r="B51" s="5">
        <v>45459</v>
      </c>
      <c r="C51" s="4" t="s">
        <v>17</v>
      </c>
      <c r="D51" s="4" t="s">
        <v>18</v>
      </c>
      <c r="E51" s="4" t="s">
        <v>63</v>
      </c>
      <c r="F51" s="4" t="s">
        <v>64</v>
      </c>
      <c r="G51" s="4" t="s">
        <v>21</v>
      </c>
      <c r="H51" s="4">
        <v>5</v>
      </c>
      <c r="I51" s="4">
        <v>899.99</v>
      </c>
      <c r="J51" s="4" t="s">
        <v>28</v>
      </c>
      <c r="K51" s="4" t="s">
        <v>37</v>
      </c>
      <c r="L51" s="4" t="s">
        <v>38</v>
      </c>
      <c r="M51" s="5">
        <v>44974</v>
      </c>
      <c r="N51" s="4">
        <v>4499.95</v>
      </c>
    </row>
    <row r="52" spans="1:14" ht="15.75" customHeight="1" x14ac:dyDescent="0.3">
      <c r="A52" s="4" t="s">
        <v>169</v>
      </c>
      <c r="B52" s="5">
        <v>45459</v>
      </c>
      <c r="C52" s="4" t="s">
        <v>125</v>
      </c>
      <c r="D52" s="4" t="s">
        <v>126</v>
      </c>
      <c r="E52" s="4" t="s">
        <v>63</v>
      </c>
      <c r="F52" s="4" t="s">
        <v>64</v>
      </c>
      <c r="G52" s="4" t="s">
        <v>21</v>
      </c>
      <c r="H52" s="4">
        <v>5</v>
      </c>
      <c r="I52" s="4">
        <v>899.99</v>
      </c>
      <c r="J52" s="4" t="s">
        <v>36</v>
      </c>
      <c r="K52" s="4" t="s">
        <v>65</v>
      </c>
      <c r="L52" s="4" t="s">
        <v>29</v>
      </c>
      <c r="M52" s="5">
        <v>45278</v>
      </c>
      <c r="N52" s="4">
        <v>4499.95</v>
      </c>
    </row>
    <row r="53" spans="1:14" ht="15.75" customHeight="1" x14ac:dyDescent="0.3">
      <c r="A53" s="4" t="s">
        <v>170</v>
      </c>
      <c r="B53" s="5">
        <v>45460</v>
      </c>
      <c r="C53" s="4" t="s">
        <v>160</v>
      </c>
      <c r="D53" s="4" t="s">
        <v>161</v>
      </c>
      <c r="E53" s="4" t="s">
        <v>33</v>
      </c>
      <c r="F53" s="4" t="s">
        <v>34</v>
      </c>
      <c r="G53" s="4" t="s">
        <v>35</v>
      </c>
      <c r="H53" s="4">
        <v>1</v>
      </c>
      <c r="I53" s="4">
        <v>59.99</v>
      </c>
      <c r="J53" s="4" t="s">
        <v>59</v>
      </c>
      <c r="K53" s="4" t="s">
        <v>52</v>
      </c>
      <c r="L53" s="4" t="s">
        <v>29</v>
      </c>
      <c r="M53" s="5">
        <v>45190</v>
      </c>
      <c r="N53" s="4">
        <v>59.99</v>
      </c>
    </row>
    <row r="54" spans="1:14" ht="15.75" customHeight="1" x14ac:dyDescent="0.3">
      <c r="A54" s="4" t="s">
        <v>171</v>
      </c>
      <c r="B54" s="5">
        <v>45460</v>
      </c>
      <c r="C54" s="4" t="s">
        <v>143</v>
      </c>
      <c r="D54" s="4" t="s">
        <v>144</v>
      </c>
      <c r="E54" s="4" t="s">
        <v>107</v>
      </c>
      <c r="F54" s="4" t="s">
        <v>108</v>
      </c>
      <c r="G54" s="4" t="s">
        <v>48</v>
      </c>
      <c r="H54" s="4">
        <v>2</v>
      </c>
      <c r="I54" s="4">
        <v>299.99</v>
      </c>
      <c r="J54" s="4" t="s">
        <v>59</v>
      </c>
      <c r="K54" s="4" t="s">
        <v>65</v>
      </c>
      <c r="L54" s="4" t="s">
        <v>38</v>
      </c>
      <c r="M54" s="5">
        <v>45253</v>
      </c>
      <c r="N54" s="4">
        <v>599.98</v>
      </c>
    </row>
    <row r="55" spans="1:14" ht="15.75" customHeight="1" x14ac:dyDescent="0.3">
      <c r="A55" s="4" t="s">
        <v>172</v>
      </c>
      <c r="B55" s="5">
        <v>45468</v>
      </c>
      <c r="C55" s="4" t="s">
        <v>173</v>
      </c>
      <c r="D55" s="4" t="s">
        <v>174</v>
      </c>
      <c r="E55" s="4" t="s">
        <v>119</v>
      </c>
      <c r="F55" s="4" t="s">
        <v>120</v>
      </c>
      <c r="G55" s="4" t="s">
        <v>21</v>
      </c>
      <c r="H55" s="4">
        <v>4</v>
      </c>
      <c r="I55" s="4">
        <v>89.99</v>
      </c>
      <c r="J55" s="4" t="s">
        <v>59</v>
      </c>
      <c r="K55" s="4" t="s">
        <v>37</v>
      </c>
      <c r="L55" s="4" t="s">
        <v>24</v>
      </c>
      <c r="M55" s="5">
        <v>45281</v>
      </c>
      <c r="N55" s="4">
        <v>359.96</v>
      </c>
    </row>
    <row r="56" spans="1:14" ht="15.75" customHeight="1" x14ac:dyDescent="0.3">
      <c r="A56" s="4" t="s">
        <v>175</v>
      </c>
      <c r="B56" s="5">
        <v>45469</v>
      </c>
      <c r="C56" s="4" t="s">
        <v>31</v>
      </c>
      <c r="D56" s="4" t="s">
        <v>32</v>
      </c>
      <c r="E56" s="4" t="s">
        <v>116</v>
      </c>
      <c r="F56" s="4" t="s">
        <v>117</v>
      </c>
      <c r="G56" s="4" t="s">
        <v>35</v>
      </c>
      <c r="H56" s="4">
        <v>1</v>
      </c>
      <c r="I56" s="4">
        <v>79.989999999999995</v>
      </c>
      <c r="J56" s="4" t="s">
        <v>36</v>
      </c>
      <c r="K56" s="4" t="s">
        <v>23</v>
      </c>
      <c r="L56" s="4" t="s">
        <v>29</v>
      </c>
      <c r="M56" s="5">
        <v>45352</v>
      </c>
      <c r="N56" s="4">
        <v>79.989999999999995</v>
      </c>
    </row>
    <row r="57" spans="1:14" ht="15.75" customHeight="1" x14ac:dyDescent="0.3">
      <c r="A57" s="4" t="s">
        <v>176</v>
      </c>
      <c r="B57" s="5">
        <v>45469</v>
      </c>
      <c r="C57" s="4" t="s">
        <v>61</v>
      </c>
      <c r="D57" s="4" t="s">
        <v>62</v>
      </c>
      <c r="E57" s="4" t="s">
        <v>119</v>
      </c>
      <c r="F57" s="4" t="s">
        <v>120</v>
      </c>
      <c r="G57" s="4" t="s">
        <v>21</v>
      </c>
      <c r="H57" s="4">
        <v>2</v>
      </c>
      <c r="I57" s="4">
        <v>89.99</v>
      </c>
      <c r="J57" s="4" t="s">
        <v>22</v>
      </c>
      <c r="K57" s="4" t="s">
        <v>52</v>
      </c>
      <c r="L57" s="4" t="s">
        <v>24</v>
      </c>
      <c r="M57" s="5">
        <v>44438</v>
      </c>
      <c r="N57" s="4">
        <v>179.98</v>
      </c>
    </row>
    <row r="58" spans="1:14" ht="15.75" customHeight="1" x14ac:dyDescent="0.3">
      <c r="A58" s="4" t="s">
        <v>177</v>
      </c>
      <c r="B58" s="5">
        <v>45471</v>
      </c>
      <c r="C58" s="4" t="s">
        <v>40</v>
      </c>
      <c r="D58" s="4" t="s">
        <v>41</v>
      </c>
      <c r="E58" s="4" t="s">
        <v>82</v>
      </c>
      <c r="F58" s="4" t="s">
        <v>83</v>
      </c>
      <c r="G58" s="4" t="s">
        <v>21</v>
      </c>
      <c r="H58" s="4">
        <v>3</v>
      </c>
      <c r="I58" s="4">
        <v>699.99</v>
      </c>
      <c r="J58" s="4" t="s">
        <v>28</v>
      </c>
      <c r="K58" s="4" t="s">
        <v>65</v>
      </c>
      <c r="L58" s="4" t="s">
        <v>29</v>
      </c>
      <c r="M58" s="5">
        <v>45102</v>
      </c>
      <c r="N58" s="4">
        <v>2099.9699999999998</v>
      </c>
    </row>
    <row r="59" spans="1:14" ht="15.75" customHeight="1" x14ac:dyDescent="0.3">
      <c r="A59" s="4" t="s">
        <v>178</v>
      </c>
      <c r="B59" s="5">
        <v>45471</v>
      </c>
      <c r="C59" s="4" t="s">
        <v>101</v>
      </c>
      <c r="D59" s="4" t="s">
        <v>102</v>
      </c>
      <c r="E59" s="4" t="s">
        <v>63</v>
      </c>
      <c r="F59" s="4" t="s">
        <v>64</v>
      </c>
      <c r="G59" s="4" t="s">
        <v>21</v>
      </c>
      <c r="H59" s="4">
        <v>4</v>
      </c>
      <c r="I59" s="4">
        <v>899.99</v>
      </c>
      <c r="J59" s="4" t="s">
        <v>28</v>
      </c>
      <c r="K59" s="4" t="s">
        <v>65</v>
      </c>
      <c r="L59" s="4" t="s">
        <v>29</v>
      </c>
      <c r="M59" s="5">
        <v>44993</v>
      </c>
      <c r="N59" s="4">
        <v>3599.96</v>
      </c>
    </row>
    <row r="60" spans="1:14" ht="15.75" customHeight="1" x14ac:dyDescent="0.3">
      <c r="A60" s="4" t="s">
        <v>179</v>
      </c>
      <c r="B60" s="5">
        <v>45472</v>
      </c>
      <c r="C60" s="4" t="s">
        <v>122</v>
      </c>
      <c r="D60" s="4" t="s">
        <v>123</v>
      </c>
      <c r="E60" s="4" t="s">
        <v>46</v>
      </c>
      <c r="F60" s="4" t="s">
        <v>47</v>
      </c>
      <c r="G60" s="4" t="s">
        <v>48</v>
      </c>
      <c r="H60" s="4">
        <v>1</v>
      </c>
      <c r="I60" s="4">
        <v>149.99</v>
      </c>
      <c r="J60" s="4" t="s">
        <v>36</v>
      </c>
      <c r="K60" s="4" t="s">
        <v>65</v>
      </c>
      <c r="L60" s="4" t="s">
        <v>24</v>
      </c>
      <c r="M60" s="5">
        <v>44851</v>
      </c>
      <c r="N60" s="4">
        <v>149.99</v>
      </c>
    </row>
    <row r="61" spans="1:14" ht="15.75" customHeight="1" x14ac:dyDescent="0.3">
      <c r="A61" s="4" t="s">
        <v>180</v>
      </c>
      <c r="B61" s="5">
        <v>45474</v>
      </c>
      <c r="C61" s="4" t="s">
        <v>134</v>
      </c>
      <c r="D61" s="4" t="s">
        <v>135</v>
      </c>
      <c r="E61" s="4" t="s">
        <v>119</v>
      </c>
      <c r="F61" s="4" t="s">
        <v>120</v>
      </c>
      <c r="G61" s="4" t="s">
        <v>21</v>
      </c>
      <c r="H61" s="4">
        <v>2</v>
      </c>
      <c r="I61" s="4">
        <v>89.99</v>
      </c>
      <c r="J61" s="4" t="s">
        <v>36</v>
      </c>
      <c r="K61" s="4" t="s">
        <v>23</v>
      </c>
      <c r="L61" s="4" t="s">
        <v>29</v>
      </c>
      <c r="M61" s="5">
        <v>45275</v>
      </c>
      <c r="N61" s="4">
        <v>179.98</v>
      </c>
    </row>
    <row r="62" spans="1:14" ht="15.75" customHeight="1" x14ac:dyDescent="0.3">
      <c r="A62" s="4" t="s">
        <v>181</v>
      </c>
      <c r="B62" s="5">
        <v>45475</v>
      </c>
      <c r="C62" s="4" t="s">
        <v>57</v>
      </c>
      <c r="D62" s="4" t="s">
        <v>58</v>
      </c>
      <c r="E62" s="4" t="s">
        <v>119</v>
      </c>
      <c r="F62" s="4" t="s">
        <v>120</v>
      </c>
      <c r="G62" s="4" t="s">
        <v>21</v>
      </c>
      <c r="H62" s="4">
        <v>1</v>
      </c>
      <c r="I62" s="4">
        <v>89.99</v>
      </c>
      <c r="J62" s="4" t="s">
        <v>36</v>
      </c>
      <c r="K62" s="4" t="s">
        <v>52</v>
      </c>
      <c r="L62" s="4" t="s">
        <v>38</v>
      </c>
      <c r="M62" s="5">
        <v>44802</v>
      </c>
      <c r="N62" s="4">
        <v>89.99</v>
      </c>
    </row>
    <row r="63" spans="1:14" ht="15.75" customHeight="1" x14ac:dyDescent="0.3">
      <c r="A63" s="4" t="s">
        <v>182</v>
      </c>
      <c r="B63" s="5">
        <v>45476</v>
      </c>
      <c r="C63" s="4" t="s">
        <v>70</v>
      </c>
      <c r="D63" s="4" t="s">
        <v>71</v>
      </c>
      <c r="E63" s="4" t="s">
        <v>119</v>
      </c>
      <c r="F63" s="4" t="s">
        <v>120</v>
      </c>
      <c r="G63" s="4" t="s">
        <v>21</v>
      </c>
      <c r="H63" s="4">
        <v>1</v>
      </c>
      <c r="I63" s="4">
        <v>89.99</v>
      </c>
      <c r="J63" s="4" t="s">
        <v>22</v>
      </c>
      <c r="K63" s="4" t="s">
        <v>37</v>
      </c>
      <c r="L63" s="4" t="s">
        <v>38</v>
      </c>
      <c r="M63" s="5">
        <v>44611</v>
      </c>
      <c r="N63" s="4">
        <v>89.99</v>
      </c>
    </row>
    <row r="64" spans="1:14" ht="15.75" customHeight="1" x14ac:dyDescent="0.3">
      <c r="A64" s="4" t="s">
        <v>183</v>
      </c>
      <c r="B64" s="5">
        <v>45476</v>
      </c>
      <c r="C64" s="4" t="s">
        <v>184</v>
      </c>
      <c r="D64" s="4" t="s">
        <v>185</v>
      </c>
      <c r="E64" s="4" t="s">
        <v>116</v>
      </c>
      <c r="F64" s="4" t="s">
        <v>117</v>
      </c>
      <c r="G64" s="4" t="s">
        <v>35</v>
      </c>
      <c r="H64" s="4">
        <v>5</v>
      </c>
      <c r="I64" s="4">
        <v>79.989999999999995</v>
      </c>
      <c r="J64" s="4" t="s">
        <v>59</v>
      </c>
      <c r="K64" s="4" t="s">
        <v>23</v>
      </c>
      <c r="L64" s="4" t="s">
        <v>24</v>
      </c>
      <c r="M64" s="5">
        <v>44981</v>
      </c>
      <c r="N64" s="4">
        <v>399.95</v>
      </c>
    </row>
    <row r="65" spans="1:14" ht="15.75" customHeight="1" x14ac:dyDescent="0.3">
      <c r="A65" s="4" t="s">
        <v>186</v>
      </c>
      <c r="B65" s="5">
        <v>45481</v>
      </c>
      <c r="C65" s="4" t="s">
        <v>187</v>
      </c>
      <c r="D65" s="4" t="s">
        <v>188</v>
      </c>
      <c r="E65" s="4" t="s">
        <v>46</v>
      </c>
      <c r="F65" s="4" t="s">
        <v>47</v>
      </c>
      <c r="G65" s="4" t="s">
        <v>48</v>
      </c>
      <c r="H65" s="4">
        <v>1</v>
      </c>
      <c r="I65" s="4">
        <v>149.99</v>
      </c>
      <c r="J65" s="4" t="s">
        <v>36</v>
      </c>
      <c r="K65" s="4" t="s">
        <v>42</v>
      </c>
      <c r="L65" s="4" t="s">
        <v>24</v>
      </c>
      <c r="M65" s="5">
        <v>44421</v>
      </c>
      <c r="N65" s="4">
        <v>149.99</v>
      </c>
    </row>
    <row r="66" spans="1:14" ht="15.75" customHeight="1" x14ac:dyDescent="0.3">
      <c r="A66" s="4" t="s">
        <v>189</v>
      </c>
      <c r="B66" s="5">
        <v>45481</v>
      </c>
      <c r="C66" s="4" t="s">
        <v>44</v>
      </c>
      <c r="D66" s="4" t="s">
        <v>45</v>
      </c>
      <c r="E66" s="4" t="s">
        <v>82</v>
      </c>
      <c r="F66" s="4" t="s">
        <v>83</v>
      </c>
      <c r="G66" s="4" t="s">
        <v>21</v>
      </c>
      <c r="H66" s="4">
        <v>2</v>
      </c>
      <c r="I66" s="4">
        <v>699.99</v>
      </c>
      <c r="J66" s="4" t="s">
        <v>36</v>
      </c>
      <c r="K66" s="4" t="s">
        <v>65</v>
      </c>
      <c r="L66" s="4" t="s">
        <v>29</v>
      </c>
      <c r="M66" s="5">
        <v>45389</v>
      </c>
      <c r="N66" s="4">
        <v>1399.98</v>
      </c>
    </row>
    <row r="67" spans="1:14" ht="15.75" customHeight="1" x14ac:dyDescent="0.3">
      <c r="A67" s="4" t="s">
        <v>190</v>
      </c>
      <c r="B67" s="5">
        <v>45481</v>
      </c>
      <c r="C67" s="4" t="s">
        <v>98</v>
      </c>
      <c r="D67" s="4" t="s">
        <v>99</v>
      </c>
      <c r="E67" s="4" t="s">
        <v>119</v>
      </c>
      <c r="F67" s="4" t="s">
        <v>120</v>
      </c>
      <c r="G67" s="4" t="s">
        <v>21</v>
      </c>
      <c r="H67" s="4">
        <v>5</v>
      </c>
      <c r="I67" s="4">
        <v>89.99</v>
      </c>
      <c r="J67" s="4" t="s">
        <v>59</v>
      </c>
      <c r="K67" s="4" t="s">
        <v>42</v>
      </c>
      <c r="L67" s="4" t="s">
        <v>29</v>
      </c>
      <c r="M67" s="5">
        <v>45161</v>
      </c>
      <c r="N67" s="4">
        <v>449.95</v>
      </c>
    </row>
    <row r="68" spans="1:14" ht="15.75" customHeight="1" x14ac:dyDescent="0.3">
      <c r="A68" s="4" t="s">
        <v>191</v>
      </c>
      <c r="B68" s="5">
        <v>45482</v>
      </c>
      <c r="C68" s="4" t="s">
        <v>173</v>
      </c>
      <c r="D68" s="4" t="s">
        <v>174</v>
      </c>
      <c r="E68" s="4" t="s">
        <v>33</v>
      </c>
      <c r="F68" s="4" t="s">
        <v>34</v>
      </c>
      <c r="G68" s="4" t="s">
        <v>35</v>
      </c>
      <c r="H68" s="4">
        <v>4</v>
      </c>
      <c r="I68" s="4">
        <v>59.99</v>
      </c>
      <c r="J68" s="4" t="s">
        <v>22</v>
      </c>
      <c r="K68" s="4" t="s">
        <v>37</v>
      </c>
      <c r="L68" s="4" t="s">
        <v>38</v>
      </c>
      <c r="M68" s="5">
        <v>44509</v>
      </c>
      <c r="N68" s="4">
        <v>239.96</v>
      </c>
    </row>
    <row r="69" spans="1:14" ht="15.75" customHeight="1" x14ac:dyDescent="0.3">
      <c r="A69" s="4" t="s">
        <v>192</v>
      </c>
      <c r="B69" s="5">
        <v>45484</v>
      </c>
      <c r="C69" s="4" t="s">
        <v>26</v>
      </c>
      <c r="D69" s="4" t="s">
        <v>27</v>
      </c>
      <c r="E69" s="4" t="s">
        <v>54</v>
      </c>
      <c r="F69" s="4" t="s">
        <v>55</v>
      </c>
      <c r="G69" s="4" t="s">
        <v>21</v>
      </c>
      <c r="H69" s="4">
        <v>1</v>
      </c>
      <c r="I69" s="4">
        <v>149.99</v>
      </c>
      <c r="J69" s="4" t="s">
        <v>22</v>
      </c>
      <c r="K69" s="4" t="s">
        <v>23</v>
      </c>
      <c r="L69" s="4" t="s">
        <v>38</v>
      </c>
      <c r="M69" s="5">
        <v>44909</v>
      </c>
      <c r="N69" s="4">
        <v>149.99</v>
      </c>
    </row>
    <row r="70" spans="1:14" ht="15.75" customHeight="1" x14ac:dyDescent="0.3">
      <c r="A70" s="4" t="s">
        <v>193</v>
      </c>
      <c r="B70" s="5">
        <v>45484</v>
      </c>
      <c r="C70" s="4" t="s">
        <v>194</v>
      </c>
      <c r="D70" s="4" t="s">
        <v>195</v>
      </c>
      <c r="E70" s="4" t="s">
        <v>107</v>
      </c>
      <c r="F70" s="4" t="s">
        <v>108</v>
      </c>
      <c r="G70" s="4" t="s">
        <v>48</v>
      </c>
      <c r="H70" s="4">
        <v>1</v>
      </c>
      <c r="I70" s="4">
        <v>299.99</v>
      </c>
      <c r="J70" s="4" t="s">
        <v>28</v>
      </c>
      <c r="K70" s="4" t="s">
        <v>42</v>
      </c>
      <c r="L70" s="4" t="s">
        <v>29</v>
      </c>
      <c r="M70" s="5">
        <v>44891</v>
      </c>
      <c r="N70" s="4">
        <v>299.99</v>
      </c>
    </row>
    <row r="71" spans="1:14" ht="15.75" customHeight="1" x14ac:dyDescent="0.3">
      <c r="A71" s="4" t="s">
        <v>196</v>
      </c>
      <c r="B71" s="5">
        <v>45487</v>
      </c>
      <c r="C71" s="4" t="s">
        <v>194</v>
      </c>
      <c r="D71" s="4" t="s">
        <v>195</v>
      </c>
      <c r="E71" s="4" t="s">
        <v>128</v>
      </c>
      <c r="F71" s="4" t="s">
        <v>129</v>
      </c>
      <c r="G71" s="4" t="s">
        <v>48</v>
      </c>
      <c r="H71" s="4">
        <v>2</v>
      </c>
      <c r="I71" s="4">
        <v>199.99</v>
      </c>
      <c r="J71" s="4" t="s">
        <v>22</v>
      </c>
      <c r="K71" s="4" t="s">
        <v>42</v>
      </c>
      <c r="L71" s="4" t="s">
        <v>24</v>
      </c>
      <c r="M71" s="5">
        <v>44541</v>
      </c>
      <c r="N71" s="4">
        <v>399.98</v>
      </c>
    </row>
    <row r="72" spans="1:14" ht="15.75" customHeight="1" x14ac:dyDescent="0.3">
      <c r="A72" s="4" t="s">
        <v>197</v>
      </c>
      <c r="B72" s="5">
        <v>45490</v>
      </c>
      <c r="C72" s="4" t="s">
        <v>198</v>
      </c>
      <c r="D72" s="4" t="s">
        <v>199</v>
      </c>
      <c r="E72" s="4" t="s">
        <v>33</v>
      </c>
      <c r="F72" s="4" t="s">
        <v>34</v>
      </c>
      <c r="G72" s="4" t="s">
        <v>35</v>
      </c>
      <c r="H72" s="4">
        <v>3</v>
      </c>
      <c r="I72" s="4">
        <v>59.99</v>
      </c>
      <c r="J72" s="4" t="s">
        <v>28</v>
      </c>
      <c r="K72" s="4" t="s">
        <v>52</v>
      </c>
      <c r="L72" s="4" t="s">
        <v>24</v>
      </c>
      <c r="M72" s="5">
        <v>45130</v>
      </c>
      <c r="N72" s="4">
        <v>179.97</v>
      </c>
    </row>
    <row r="73" spans="1:14" ht="15.75" customHeight="1" x14ac:dyDescent="0.3">
      <c r="A73" s="4" t="s">
        <v>200</v>
      </c>
      <c r="B73" s="5">
        <v>45490</v>
      </c>
      <c r="C73" s="4" t="s">
        <v>74</v>
      </c>
      <c r="D73" s="4" t="s">
        <v>75</v>
      </c>
      <c r="E73" s="4" t="s">
        <v>46</v>
      </c>
      <c r="F73" s="4" t="s">
        <v>47</v>
      </c>
      <c r="G73" s="4" t="s">
        <v>48</v>
      </c>
      <c r="H73" s="4">
        <v>3</v>
      </c>
      <c r="I73" s="4">
        <v>149.99</v>
      </c>
      <c r="J73" s="4" t="s">
        <v>22</v>
      </c>
      <c r="K73" s="4" t="s">
        <v>23</v>
      </c>
      <c r="L73" s="4" t="s">
        <v>29</v>
      </c>
      <c r="M73" s="5">
        <v>45199</v>
      </c>
      <c r="N73" s="4">
        <v>449.97</v>
      </c>
    </row>
    <row r="74" spans="1:14" ht="15.75" customHeight="1" x14ac:dyDescent="0.3">
      <c r="A74" s="4" t="s">
        <v>201</v>
      </c>
      <c r="B74" s="5">
        <v>45491</v>
      </c>
      <c r="C74" s="4" t="s">
        <v>67</v>
      </c>
      <c r="D74" s="4" t="s">
        <v>68</v>
      </c>
      <c r="E74" s="4" t="s">
        <v>128</v>
      </c>
      <c r="F74" s="4" t="s">
        <v>129</v>
      </c>
      <c r="G74" s="4" t="s">
        <v>48</v>
      </c>
      <c r="H74" s="4">
        <v>3</v>
      </c>
      <c r="I74" s="4">
        <v>199.99</v>
      </c>
      <c r="J74" s="4" t="s">
        <v>22</v>
      </c>
      <c r="K74" s="4" t="s">
        <v>42</v>
      </c>
      <c r="L74" s="4" t="s">
        <v>29</v>
      </c>
      <c r="M74" s="5">
        <v>45254</v>
      </c>
      <c r="N74" s="4">
        <v>599.97</v>
      </c>
    </row>
    <row r="75" spans="1:14" ht="15.75" customHeight="1" x14ac:dyDescent="0.3">
      <c r="A75" s="4" t="s">
        <v>202</v>
      </c>
      <c r="B75" s="5">
        <v>45496</v>
      </c>
      <c r="C75" s="4" t="s">
        <v>152</v>
      </c>
      <c r="D75" s="4" t="s">
        <v>153</v>
      </c>
      <c r="E75" s="4" t="s">
        <v>63</v>
      </c>
      <c r="F75" s="4" t="s">
        <v>64</v>
      </c>
      <c r="G75" s="4" t="s">
        <v>21</v>
      </c>
      <c r="H75" s="4">
        <v>1</v>
      </c>
      <c r="I75" s="4">
        <v>899.99</v>
      </c>
      <c r="J75" s="4" t="s">
        <v>22</v>
      </c>
      <c r="K75" s="4" t="s">
        <v>23</v>
      </c>
      <c r="L75" s="4" t="s">
        <v>38</v>
      </c>
      <c r="M75" s="5">
        <v>45179</v>
      </c>
      <c r="N75" s="4">
        <v>899.99</v>
      </c>
    </row>
    <row r="76" spans="1:14" ht="15.75" customHeight="1" x14ac:dyDescent="0.3">
      <c r="A76" s="4" t="s">
        <v>203</v>
      </c>
      <c r="B76" s="5">
        <v>45497</v>
      </c>
      <c r="C76" s="4" t="s">
        <v>26</v>
      </c>
      <c r="D76" s="4" t="s">
        <v>27</v>
      </c>
      <c r="E76" s="4" t="s">
        <v>63</v>
      </c>
      <c r="F76" s="4" t="s">
        <v>64</v>
      </c>
      <c r="G76" s="4" t="s">
        <v>21</v>
      </c>
      <c r="H76" s="4">
        <v>5</v>
      </c>
      <c r="I76" s="4">
        <v>899.99</v>
      </c>
      <c r="J76" s="4" t="s">
        <v>59</v>
      </c>
      <c r="K76" s="4" t="s">
        <v>37</v>
      </c>
      <c r="L76" s="4" t="s">
        <v>38</v>
      </c>
      <c r="M76" s="5">
        <v>44899</v>
      </c>
      <c r="N76" s="4">
        <v>4499.95</v>
      </c>
    </row>
    <row r="77" spans="1:14" ht="15.75" customHeight="1" x14ac:dyDescent="0.3">
      <c r="A77" s="4" t="s">
        <v>204</v>
      </c>
      <c r="B77" s="5">
        <v>45498</v>
      </c>
      <c r="C77" s="4" t="s">
        <v>184</v>
      </c>
      <c r="D77" s="4" t="s">
        <v>185</v>
      </c>
      <c r="E77" s="4" t="s">
        <v>33</v>
      </c>
      <c r="F77" s="4" t="s">
        <v>34</v>
      </c>
      <c r="G77" s="4" t="s">
        <v>35</v>
      </c>
      <c r="H77" s="4">
        <v>2</v>
      </c>
      <c r="I77" s="4">
        <v>59.99</v>
      </c>
      <c r="J77" s="4" t="s">
        <v>22</v>
      </c>
      <c r="K77" s="4" t="s">
        <v>42</v>
      </c>
      <c r="L77" s="4" t="s">
        <v>38</v>
      </c>
      <c r="M77" s="5">
        <v>45152</v>
      </c>
      <c r="N77" s="4">
        <v>119.98</v>
      </c>
    </row>
    <row r="78" spans="1:14" ht="15.75" customHeight="1" x14ac:dyDescent="0.3">
      <c r="A78" s="4" t="s">
        <v>205</v>
      </c>
      <c r="B78" s="5">
        <v>45498</v>
      </c>
      <c r="C78" s="4" t="s">
        <v>198</v>
      </c>
      <c r="D78" s="4" t="s">
        <v>199</v>
      </c>
      <c r="E78" s="4" t="s">
        <v>19</v>
      </c>
      <c r="F78" s="4" t="s">
        <v>20</v>
      </c>
      <c r="G78" s="4" t="s">
        <v>21</v>
      </c>
      <c r="H78" s="4">
        <v>4</v>
      </c>
      <c r="I78" s="4">
        <v>249.99</v>
      </c>
      <c r="J78" s="4" t="s">
        <v>59</v>
      </c>
      <c r="K78" s="4" t="s">
        <v>23</v>
      </c>
      <c r="L78" s="4" t="s">
        <v>38</v>
      </c>
      <c r="M78" s="5">
        <v>45127</v>
      </c>
      <c r="N78" s="4">
        <v>999.96</v>
      </c>
    </row>
    <row r="79" spans="1:14" ht="15.75" customHeight="1" x14ac:dyDescent="0.3">
      <c r="A79" s="4" t="s">
        <v>206</v>
      </c>
      <c r="B79" s="5">
        <v>45500</v>
      </c>
      <c r="C79" s="4" t="s">
        <v>98</v>
      </c>
      <c r="D79" s="4" t="s">
        <v>99</v>
      </c>
      <c r="E79" s="4" t="s">
        <v>19</v>
      </c>
      <c r="F79" s="4" t="s">
        <v>20</v>
      </c>
      <c r="G79" s="4" t="s">
        <v>21</v>
      </c>
      <c r="H79" s="4">
        <v>2</v>
      </c>
      <c r="I79" s="4">
        <v>249.99</v>
      </c>
      <c r="J79" s="4" t="s">
        <v>22</v>
      </c>
      <c r="K79" s="4" t="s">
        <v>42</v>
      </c>
      <c r="L79" s="4" t="s">
        <v>29</v>
      </c>
      <c r="M79" s="5">
        <v>45164</v>
      </c>
      <c r="N79" s="4">
        <v>499.98</v>
      </c>
    </row>
    <row r="80" spans="1:14" ht="15.75" customHeight="1" x14ac:dyDescent="0.3">
      <c r="A80" s="4" t="s">
        <v>207</v>
      </c>
      <c r="B80" s="5">
        <v>45500</v>
      </c>
      <c r="C80" s="4" t="s">
        <v>149</v>
      </c>
      <c r="D80" s="4" t="s">
        <v>150</v>
      </c>
      <c r="E80" s="4" t="s">
        <v>107</v>
      </c>
      <c r="F80" s="4" t="s">
        <v>108</v>
      </c>
      <c r="G80" s="4" t="s">
        <v>48</v>
      </c>
      <c r="H80" s="4">
        <v>1</v>
      </c>
      <c r="I80" s="4">
        <v>299.99</v>
      </c>
      <c r="J80" s="4" t="s">
        <v>22</v>
      </c>
      <c r="K80" s="4" t="s">
        <v>37</v>
      </c>
      <c r="L80" s="4" t="s">
        <v>24</v>
      </c>
      <c r="M80" s="5">
        <v>44982</v>
      </c>
      <c r="N80" s="4">
        <v>299.99</v>
      </c>
    </row>
    <row r="81" spans="1:14" ht="15.75" customHeight="1" x14ac:dyDescent="0.3">
      <c r="A81" s="4" t="s">
        <v>208</v>
      </c>
      <c r="B81" s="5">
        <v>45501</v>
      </c>
      <c r="C81" s="4" t="s">
        <v>88</v>
      </c>
      <c r="D81" s="4" t="s">
        <v>89</v>
      </c>
      <c r="E81" s="4" t="s">
        <v>119</v>
      </c>
      <c r="F81" s="4" t="s">
        <v>120</v>
      </c>
      <c r="G81" s="4" t="s">
        <v>21</v>
      </c>
      <c r="H81" s="4">
        <v>2</v>
      </c>
      <c r="I81" s="4">
        <v>89.99</v>
      </c>
      <c r="J81" s="4" t="s">
        <v>36</v>
      </c>
      <c r="K81" s="4" t="s">
        <v>37</v>
      </c>
      <c r="L81" s="4" t="s">
        <v>24</v>
      </c>
      <c r="M81" s="5">
        <v>44976</v>
      </c>
      <c r="N81" s="4">
        <v>179.98</v>
      </c>
    </row>
    <row r="82" spans="1:14" ht="15.75" customHeight="1" x14ac:dyDescent="0.3">
      <c r="A82" s="4" t="s">
        <v>209</v>
      </c>
      <c r="B82" s="5">
        <v>45501</v>
      </c>
      <c r="C82" s="4" t="s">
        <v>149</v>
      </c>
      <c r="D82" s="4" t="s">
        <v>150</v>
      </c>
      <c r="E82" s="4" t="s">
        <v>107</v>
      </c>
      <c r="F82" s="4" t="s">
        <v>108</v>
      </c>
      <c r="G82" s="4" t="s">
        <v>48</v>
      </c>
      <c r="H82" s="4">
        <v>3</v>
      </c>
      <c r="I82" s="4">
        <v>299.99</v>
      </c>
      <c r="J82" s="4" t="s">
        <v>22</v>
      </c>
      <c r="K82" s="4" t="s">
        <v>23</v>
      </c>
      <c r="L82" s="4" t="s">
        <v>24</v>
      </c>
      <c r="M82" s="5">
        <v>44732</v>
      </c>
      <c r="N82" s="4">
        <v>899.97</v>
      </c>
    </row>
    <row r="83" spans="1:14" ht="15.75" customHeight="1" x14ac:dyDescent="0.3">
      <c r="A83" s="4" t="s">
        <v>210</v>
      </c>
      <c r="B83" s="5">
        <v>45503</v>
      </c>
      <c r="C83" s="4" t="s">
        <v>88</v>
      </c>
      <c r="D83" s="4" t="s">
        <v>89</v>
      </c>
      <c r="E83" s="4" t="s">
        <v>82</v>
      </c>
      <c r="F83" s="4" t="s">
        <v>83</v>
      </c>
      <c r="G83" s="4" t="s">
        <v>21</v>
      </c>
      <c r="H83" s="4">
        <v>2</v>
      </c>
      <c r="I83" s="4">
        <v>699.99</v>
      </c>
      <c r="J83" s="4" t="s">
        <v>28</v>
      </c>
      <c r="K83" s="4" t="s">
        <v>42</v>
      </c>
      <c r="L83" s="4" t="s">
        <v>29</v>
      </c>
      <c r="M83" s="5">
        <v>44999</v>
      </c>
      <c r="N83" s="4">
        <v>1399.98</v>
      </c>
    </row>
    <row r="84" spans="1:14" ht="15.75" customHeight="1" x14ac:dyDescent="0.3">
      <c r="A84" s="4" t="s">
        <v>211</v>
      </c>
      <c r="B84" s="5">
        <v>45504</v>
      </c>
      <c r="C84" s="4" t="s">
        <v>122</v>
      </c>
      <c r="D84" s="4" t="s">
        <v>123</v>
      </c>
      <c r="E84" s="4" t="s">
        <v>63</v>
      </c>
      <c r="F84" s="4" t="s">
        <v>64</v>
      </c>
      <c r="G84" s="4" t="s">
        <v>21</v>
      </c>
      <c r="H84" s="4">
        <v>4</v>
      </c>
      <c r="I84" s="4">
        <v>899.99</v>
      </c>
      <c r="J84" s="4" t="s">
        <v>59</v>
      </c>
      <c r="K84" s="4" t="s">
        <v>37</v>
      </c>
      <c r="L84" s="4" t="s">
        <v>38</v>
      </c>
      <c r="M84" s="5">
        <v>44523</v>
      </c>
      <c r="N84" s="4">
        <v>3599.96</v>
      </c>
    </row>
    <row r="85" spans="1:14" ht="15.75" customHeight="1" x14ac:dyDescent="0.3">
      <c r="A85" s="4" t="s">
        <v>212</v>
      </c>
      <c r="B85" s="5">
        <v>45509</v>
      </c>
      <c r="C85" s="4" t="s">
        <v>213</v>
      </c>
      <c r="D85" s="4" t="s">
        <v>214</v>
      </c>
      <c r="E85" s="4" t="s">
        <v>46</v>
      </c>
      <c r="F85" s="4" t="s">
        <v>47</v>
      </c>
      <c r="G85" s="4" t="s">
        <v>48</v>
      </c>
      <c r="H85" s="4">
        <v>2</v>
      </c>
      <c r="I85" s="4">
        <v>149.99</v>
      </c>
      <c r="J85" s="4" t="s">
        <v>28</v>
      </c>
      <c r="K85" s="4" t="s">
        <v>52</v>
      </c>
      <c r="L85" s="4" t="s">
        <v>24</v>
      </c>
      <c r="M85" s="5">
        <v>44542</v>
      </c>
      <c r="N85" s="4">
        <v>299.98</v>
      </c>
    </row>
    <row r="86" spans="1:14" ht="15.75" customHeight="1" x14ac:dyDescent="0.3">
      <c r="A86" s="4" t="s">
        <v>215</v>
      </c>
      <c r="B86" s="5">
        <v>45510</v>
      </c>
      <c r="C86" s="4" t="s">
        <v>104</v>
      </c>
      <c r="D86" s="4" t="s">
        <v>105</v>
      </c>
      <c r="E86" s="4" t="s">
        <v>46</v>
      </c>
      <c r="F86" s="4" t="s">
        <v>47</v>
      </c>
      <c r="G86" s="4" t="s">
        <v>48</v>
      </c>
      <c r="H86" s="4">
        <v>2</v>
      </c>
      <c r="I86" s="4">
        <v>149.99</v>
      </c>
      <c r="J86" s="4" t="s">
        <v>59</v>
      </c>
      <c r="K86" s="4" t="s">
        <v>65</v>
      </c>
      <c r="L86" s="4" t="s">
        <v>38</v>
      </c>
      <c r="M86" s="5">
        <v>44667</v>
      </c>
      <c r="N86" s="4">
        <v>299.98</v>
      </c>
    </row>
    <row r="87" spans="1:14" ht="15.75" customHeight="1" x14ac:dyDescent="0.3">
      <c r="A87" s="4" t="s">
        <v>216</v>
      </c>
      <c r="B87" s="5">
        <v>45513</v>
      </c>
      <c r="C87" s="4" t="s">
        <v>91</v>
      </c>
      <c r="D87" s="4" t="s">
        <v>92</v>
      </c>
      <c r="E87" s="4" t="s">
        <v>119</v>
      </c>
      <c r="F87" s="4" t="s">
        <v>120</v>
      </c>
      <c r="G87" s="4" t="s">
        <v>21</v>
      </c>
      <c r="H87" s="4">
        <v>1</v>
      </c>
      <c r="I87" s="4">
        <v>89.99</v>
      </c>
      <c r="J87" s="4" t="s">
        <v>28</v>
      </c>
      <c r="K87" s="4" t="s">
        <v>42</v>
      </c>
      <c r="L87" s="4" t="s">
        <v>38</v>
      </c>
      <c r="M87" s="5">
        <v>45393</v>
      </c>
      <c r="N87" s="4">
        <v>89.99</v>
      </c>
    </row>
    <row r="88" spans="1:14" ht="15.75" customHeight="1" x14ac:dyDescent="0.3">
      <c r="A88" s="4" t="s">
        <v>217</v>
      </c>
      <c r="B88" s="5">
        <v>45515</v>
      </c>
      <c r="C88" s="4" t="s">
        <v>88</v>
      </c>
      <c r="D88" s="4" t="s">
        <v>89</v>
      </c>
      <c r="E88" s="4" t="s">
        <v>107</v>
      </c>
      <c r="F88" s="4" t="s">
        <v>108</v>
      </c>
      <c r="G88" s="4" t="s">
        <v>48</v>
      </c>
      <c r="H88" s="4">
        <v>5</v>
      </c>
      <c r="I88" s="4">
        <v>299.99</v>
      </c>
      <c r="J88" s="4" t="s">
        <v>28</v>
      </c>
      <c r="K88" s="4" t="s">
        <v>42</v>
      </c>
      <c r="L88" s="4" t="s">
        <v>24</v>
      </c>
      <c r="M88" s="5">
        <v>44965</v>
      </c>
      <c r="N88" s="4">
        <v>1499.95</v>
      </c>
    </row>
    <row r="89" spans="1:14" ht="15.75" customHeight="1" x14ac:dyDescent="0.3">
      <c r="A89" s="4" t="s">
        <v>218</v>
      </c>
      <c r="B89" s="5">
        <v>45517</v>
      </c>
      <c r="C89" s="4" t="s">
        <v>184</v>
      </c>
      <c r="D89" s="4" t="s">
        <v>185</v>
      </c>
      <c r="E89" s="4" t="s">
        <v>54</v>
      </c>
      <c r="F89" s="4" t="s">
        <v>55</v>
      </c>
      <c r="G89" s="4" t="s">
        <v>21</v>
      </c>
      <c r="H89" s="4">
        <v>4</v>
      </c>
      <c r="I89" s="4">
        <v>149.99</v>
      </c>
      <c r="J89" s="4" t="s">
        <v>59</v>
      </c>
      <c r="K89" s="4" t="s">
        <v>37</v>
      </c>
      <c r="L89" s="4" t="s">
        <v>29</v>
      </c>
      <c r="M89" s="5">
        <v>44820</v>
      </c>
      <c r="N89" s="4">
        <v>599.96</v>
      </c>
    </row>
    <row r="90" spans="1:14" ht="15.75" customHeight="1" x14ac:dyDescent="0.3">
      <c r="A90" s="4" t="s">
        <v>219</v>
      </c>
      <c r="B90" s="5">
        <v>45517</v>
      </c>
      <c r="C90" s="4" t="s">
        <v>187</v>
      </c>
      <c r="D90" s="4" t="s">
        <v>188</v>
      </c>
      <c r="E90" s="4" t="s">
        <v>19</v>
      </c>
      <c r="F90" s="4" t="s">
        <v>20</v>
      </c>
      <c r="G90" s="4" t="s">
        <v>21</v>
      </c>
      <c r="H90" s="4">
        <v>5</v>
      </c>
      <c r="I90" s="4">
        <v>249.99</v>
      </c>
      <c r="J90" s="4" t="s">
        <v>36</v>
      </c>
      <c r="K90" s="4" t="s">
        <v>65</v>
      </c>
      <c r="L90" s="4" t="s">
        <v>29</v>
      </c>
      <c r="M90" s="5">
        <v>44782</v>
      </c>
      <c r="N90" s="4">
        <v>1249.95</v>
      </c>
    </row>
    <row r="91" spans="1:14" ht="15.75" customHeight="1" x14ac:dyDescent="0.3">
      <c r="A91" s="4" t="s">
        <v>220</v>
      </c>
      <c r="B91" s="5">
        <v>45517</v>
      </c>
      <c r="C91" s="4" t="s">
        <v>67</v>
      </c>
      <c r="D91" s="4" t="s">
        <v>68</v>
      </c>
      <c r="E91" s="4" t="s">
        <v>19</v>
      </c>
      <c r="F91" s="4" t="s">
        <v>20</v>
      </c>
      <c r="G91" s="4" t="s">
        <v>21</v>
      </c>
      <c r="H91" s="4">
        <v>3</v>
      </c>
      <c r="I91" s="4">
        <v>249.99</v>
      </c>
      <c r="J91" s="4" t="s">
        <v>36</v>
      </c>
      <c r="K91" s="4" t="s">
        <v>42</v>
      </c>
      <c r="L91" s="4" t="s">
        <v>29</v>
      </c>
      <c r="M91" s="5">
        <v>44465</v>
      </c>
      <c r="N91" s="4">
        <v>749.97</v>
      </c>
    </row>
    <row r="92" spans="1:14" ht="15.75" customHeight="1" x14ac:dyDescent="0.3">
      <c r="A92" s="4" t="s">
        <v>221</v>
      </c>
      <c r="B92" s="5">
        <v>45517</v>
      </c>
      <c r="C92" s="4" t="s">
        <v>40</v>
      </c>
      <c r="D92" s="4" t="s">
        <v>41</v>
      </c>
      <c r="E92" s="4" t="s">
        <v>128</v>
      </c>
      <c r="F92" s="4" t="s">
        <v>129</v>
      </c>
      <c r="G92" s="4" t="s">
        <v>48</v>
      </c>
      <c r="H92" s="4">
        <v>4</v>
      </c>
      <c r="I92" s="4">
        <v>199.99</v>
      </c>
      <c r="J92" s="4" t="s">
        <v>22</v>
      </c>
      <c r="K92" s="4" t="s">
        <v>42</v>
      </c>
      <c r="L92" s="4" t="s">
        <v>38</v>
      </c>
      <c r="M92" s="5">
        <v>44458</v>
      </c>
      <c r="N92" s="4">
        <v>799.96</v>
      </c>
    </row>
    <row r="93" spans="1:14" ht="15.75" customHeight="1" x14ac:dyDescent="0.3">
      <c r="A93" s="4" t="s">
        <v>222</v>
      </c>
      <c r="B93" s="5">
        <v>45519</v>
      </c>
      <c r="C93" s="4" t="s">
        <v>160</v>
      </c>
      <c r="D93" s="4" t="s">
        <v>161</v>
      </c>
      <c r="E93" s="4" t="s">
        <v>128</v>
      </c>
      <c r="F93" s="4" t="s">
        <v>129</v>
      </c>
      <c r="G93" s="4" t="s">
        <v>48</v>
      </c>
      <c r="H93" s="4">
        <v>5</v>
      </c>
      <c r="I93" s="4">
        <v>199.99</v>
      </c>
      <c r="J93" s="4" t="s">
        <v>22</v>
      </c>
      <c r="K93" s="4" t="s">
        <v>42</v>
      </c>
      <c r="L93" s="4" t="s">
        <v>29</v>
      </c>
      <c r="M93" s="5">
        <v>44991</v>
      </c>
      <c r="N93" s="4">
        <v>999.95</v>
      </c>
    </row>
    <row r="94" spans="1:14" ht="15.75" customHeight="1" x14ac:dyDescent="0.3">
      <c r="A94" s="4" t="s">
        <v>223</v>
      </c>
      <c r="B94" s="5">
        <v>45522</v>
      </c>
      <c r="C94" s="4" t="s">
        <v>88</v>
      </c>
      <c r="D94" s="4" t="s">
        <v>89</v>
      </c>
      <c r="E94" s="4" t="s">
        <v>119</v>
      </c>
      <c r="F94" s="4" t="s">
        <v>120</v>
      </c>
      <c r="G94" s="4" t="s">
        <v>21</v>
      </c>
      <c r="H94" s="4">
        <v>2</v>
      </c>
      <c r="I94" s="4">
        <v>89.99</v>
      </c>
      <c r="J94" s="4" t="s">
        <v>22</v>
      </c>
      <c r="K94" s="4" t="s">
        <v>65</v>
      </c>
      <c r="L94" s="4" t="s">
        <v>29</v>
      </c>
      <c r="M94" s="5">
        <v>44972</v>
      </c>
      <c r="N94" s="4">
        <v>179.98</v>
      </c>
    </row>
    <row r="95" spans="1:14" ht="15.75" customHeight="1" x14ac:dyDescent="0.3">
      <c r="A95" s="4" t="s">
        <v>224</v>
      </c>
      <c r="B95" s="5">
        <v>45523</v>
      </c>
      <c r="C95" s="4" t="s">
        <v>198</v>
      </c>
      <c r="D95" s="4" t="s">
        <v>199</v>
      </c>
      <c r="E95" s="4" t="s">
        <v>63</v>
      </c>
      <c r="F95" s="4" t="s">
        <v>64</v>
      </c>
      <c r="G95" s="4" t="s">
        <v>21</v>
      </c>
      <c r="H95" s="4">
        <v>5</v>
      </c>
      <c r="I95" s="4">
        <v>899.99</v>
      </c>
      <c r="J95" s="4" t="s">
        <v>59</v>
      </c>
      <c r="K95" s="4" t="s">
        <v>65</v>
      </c>
      <c r="L95" s="4" t="s">
        <v>24</v>
      </c>
      <c r="M95" s="5">
        <v>44526</v>
      </c>
      <c r="N95" s="4">
        <v>4499.95</v>
      </c>
    </row>
    <row r="96" spans="1:14" ht="15.75" customHeight="1" x14ac:dyDescent="0.3">
      <c r="A96" s="4" t="s">
        <v>225</v>
      </c>
      <c r="B96" s="5">
        <v>45523</v>
      </c>
      <c r="C96" s="4" t="s">
        <v>110</v>
      </c>
      <c r="D96" s="4" t="s">
        <v>111</v>
      </c>
      <c r="E96" s="4" t="s">
        <v>54</v>
      </c>
      <c r="F96" s="4" t="s">
        <v>55</v>
      </c>
      <c r="G96" s="4" t="s">
        <v>21</v>
      </c>
      <c r="H96" s="4">
        <v>3</v>
      </c>
      <c r="I96" s="4">
        <v>149.99</v>
      </c>
      <c r="J96" s="4" t="s">
        <v>36</v>
      </c>
      <c r="K96" s="4" t="s">
        <v>65</v>
      </c>
      <c r="L96" s="4" t="s">
        <v>24</v>
      </c>
      <c r="M96" s="5">
        <v>44574</v>
      </c>
      <c r="N96" s="4">
        <v>449.97</v>
      </c>
    </row>
    <row r="97" spans="1:14" ht="15.75" customHeight="1" x14ac:dyDescent="0.3">
      <c r="A97" s="4" t="s">
        <v>226</v>
      </c>
      <c r="B97" s="5">
        <v>45526</v>
      </c>
      <c r="C97" s="4" t="s">
        <v>104</v>
      </c>
      <c r="D97" s="4" t="s">
        <v>105</v>
      </c>
      <c r="E97" s="4" t="s">
        <v>46</v>
      </c>
      <c r="F97" s="4" t="s">
        <v>47</v>
      </c>
      <c r="G97" s="4" t="s">
        <v>48</v>
      </c>
      <c r="H97" s="4">
        <v>5</v>
      </c>
      <c r="I97" s="4">
        <v>149.99</v>
      </c>
      <c r="J97" s="4" t="s">
        <v>28</v>
      </c>
      <c r="K97" s="4" t="s">
        <v>23</v>
      </c>
      <c r="L97" s="4" t="s">
        <v>24</v>
      </c>
      <c r="M97" s="5">
        <v>45310</v>
      </c>
      <c r="N97" s="4">
        <v>749.95</v>
      </c>
    </row>
    <row r="98" spans="1:14" ht="15.75" customHeight="1" x14ac:dyDescent="0.3">
      <c r="A98" s="4" t="s">
        <v>227</v>
      </c>
      <c r="B98" s="5">
        <v>45528</v>
      </c>
      <c r="C98" s="4" t="s">
        <v>228</v>
      </c>
      <c r="D98" s="4" t="s">
        <v>229</v>
      </c>
      <c r="E98" s="4" t="s">
        <v>116</v>
      </c>
      <c r="F98" s="4" t="s">
        <v>117</v>
      </c>
      <c r="G98" s="4" t="s">
        <v>35</v>
      </c>
      <c r="H98" s="4">
        <v>3</v>
      </c>
      <c r="I98" s="4">
        <v>79.989999999999995</v>
      </c>
      <c r="J98" s="4" t="s">
        <v>22</v>
      </c>
      <c r="K98" s="4" t="s">
        <v>23</v>
      </c>
      <c r="L98" s="4" t="s">
        <v>29</v>
      </c>
      <c r="M98" s="5">
        <v>44779</v>
      </c>
      <c r="N98" s="4">
        <v>239.97</v>
      </c>
    </row>
    <row r="99" spans="1:14" ht="15.75" customHeight="1" x14ac:dyDescent="0.3">
      <c r="A99" s="4" t="s">
        <v>230</v>
      </c>
      <c r="B99" s="5">
        <v>45528</v>
      </c>
      <c r="C99" s="4" t="s">
        <v>146</v>
      </c>
      <c r="D99" s="4" t="s">
        <v>147</v>
      </c>
      <c r="E99" s="4" t="s">
        <v>19</v>
      </c>
      <c r="F99" s="4" t="s">
        <v>20</v>
      </c>
      <c r="G99" s="4" t="s">
        <v>21</v>
      </c>
      <c r="H99" s="4">
        <v>2</v>
      </c>
      <c r="I99" s="4">
        <v>249.99</v>
      </c>
      <c r="J99" s="4" t="s">
        <v>22</v>
      </c>
      <c r="K99" s="4" t="s">
        <v>37</v>
      </c>
      <c r="L99" s="4" t="s">
        <v>38</v>
      </c>
      <c r="M99" s="5">
        <v>44572</v>
      </c>
      <c r="N99" s="4">
        <v>499.98</v>
      </c>
    </row>
    <row r="100" spans="1:14" ht="15.75" customHeight="1" x14ac:dyDescent="0.3">
      <c r="A100" s="4" t="s">
        <v>231</v>
      </c>
      <c r="B100" s="5">
        <v>45532</v>
      </c>
      <c r="C100" s="4" t="s">
        <v>198</v>
      </c>
      <c r="D100" s="4" t="s">
        <v>199</v>
      </c>
      <c r="E100" s="4" t="s">
        <v>82</v>
      </c>
      <c r="F100" s="4" t="s">
        <v>83</v>
      </c>
      <c r="G100" s="4" t="s">
        <v>21</v>
      </c>
      <c r="H100" s="4">
        <v>1</v>
      </c>
      <c r="I100" s="4">
        <v>699.99</v>
      </c>
      <c r="J100" s="4" t="s">
        <v>22</v>
      </c>
      <c r="K100" s="4" t="s">
        <v>23</v>
      </c>
      <c r="L100" s="4" t="s">
        <v>29</v>
      </c>
      <c r="M100" s="5">
        <v>44497</v>
      </c>
      <c r="N100" s="4">
        <v>699.99</v>
      </c>
    </row>
    <row r="101" spans="1:14" ht="15.75" customHeight="1" x14ac:dyDescent="0.3">
      <c r="A101" s="4" t="s">
        <v>232</v>
      </c>
      <c r="B101" s="5">
        <v>45532</v>
      </c>
      <c r="C101" s="4" t="s">
        <v>233</v>
      </c>
      <c r="D101" s="4" t="s">
        <v>234</v>
      </c>
      <c r="E101" s="4" t="s">
        <v>54</v>
      </c>
      <c r="F101" s="4" t="s">
        <v>55</v>
      </c>
      <c r="G101" s="4" t="s">
        <v>21</v>
      </c>
      <c r="H101" s="4">
        <v>3</v>
      </c>
      <c r="I101" s="4">
        <v>149.99</v>
      </c>
      <c r="J101" s="4" t="s">
        <v>22</v>
      </c>
      <c r="K101" s="4" t="s">
        <v>52</v>
      </c>
      <c r="L101" s="4" t="s">
        <v>29</v>
      </c>
      <c r="M101" s="5">
        <v>45212</v>
      </c>
      <c r="N101" s="4">
        <v>449.97</v>
      </c>
    </row>
    <row r="102" spans="1:14" ht="15.75" customHeight="1" x14ac:dyDescent="0.3">
      <c r="A102" s="4" t="s">
        <v>235</v>
      </c>
      <c r="B102" s="5">
        <v>45534</v>
      </c>
      <c r="C102" s="4" t="s">
        <v>236</v>
      </c>
      <c r="D102" s="4" t="s">
        <v>237</v>
      </c>
      <c r="E102" s="4" t="s">
        <v>82</v>
      </c>
      <c r="F102" s="4" t="s">
        <v>83</v>
      </c>
      <c r="G102" s="4" t="s">
        <v>21</v>
      </c>
      <c r="H102" s="4">
        <v>2</v>
      </c>
      <c r="I102" s="4">
        <v>699.99</v>
      </c>
      <c r="J102" s="4" t="s">
        <v>28</v>
      </c>
      <c r="K102" s="4" t="s">
        <v>42</v>
      </c>
      <c r="L102" s="4" t="s">
        <v>29</v>
      </c>
      <c r="M102" s="5">
        <v>44421</v>
      </c>
      <c r="N102" s="4">
        <v>1399.98</v>
      </c>
    </row>
    <row r="103" spans="1:14" ht="15.75" customHeight="1" x14ac:dyDescent="0.3">
      <c r="A103" s="4" t="s">
        <v>238</v>
      </c>
      <c r="B103" s="5">
        <v>45537</v>
      </c>
      <c r="C103" s="4" t="s">
        <v>233</v>
      </c>
      <c r="D103" s="4" t="s">
        <v>234</v>
      </c>
      <c r="E103" s="4" t="s">
        <v>19</v>
      </c>
      <c r="F103" s="4" t="s">
        <v>20</v>
      </c>
      <c r="G103" s="4" t="s">
        <v>21</v>
      </c>
      <c r="H103" s="4">
        <v>1</v>
      </c>
      <c r="I103" s="4">
        <v>249.99</v>
      </c>
      <c r="J103" s="4" t="s">
        <v>28</v>
      </c>
      <c r="K103" s="4" t="s">
        <v>52</v>
      </c>
      <c r="L103" s="4" t="s">
        <v>29</v>
      </c>
      <c r="M103" s="5">
        <v>44685</v>
      </c>
      <c r="N103" s="4">
        <v>249.99</v>
      </c>
    </row>
    <row r="104" spans="1:14" ht="15.75" customHeight="1" x14ac:dyDescent="0.3">
      <c r="A104" s="4" t="s">
        <v>239</v>
      </c>
      <c r="B104" s="5">
        <v>45537</v>
      </c>
      <c r="C104" s="4" t="s">
        <v>17</v>
      </c>
      <c r="D104" s="4" t="s">
        <v>18</v>
      </c>
      <c r="E104" s="4" t="s">
        <v>19</v>
      </c>
      <c r="F104" s="4" t="s">
        <v>20</v>
      </c>
      <c r="G104" s="4" t="s">
        <v>21</v>
      </c>
      <c r="H104" s="4">
        <v>1</v>
      </c>
      <c r="I104" s="4">
        <v>249.99</v>
      </c>
      <c r="J104" s="4" t="s">
        <v>59</v>
      </c>
      <c r="K104" s="4" t="s">
        <v>42</v>
      </c>
      <c r="L104" s="4" t="s">
        <v>29</v>
      </c>
      <c r="M104" s="5">
        <v>45332</v>
      </c>
      <c r="N104" s="4">
        <v>249.99</v>
      </c>
    </row>
    <row r="105" spans="1:14" ht="15.75" customHeight="1" x14ac:dyDescent="0.3">
      <c r="A105" s="4" t="s">
        <v>240</v>
      </c>
      <c r="B105" s="5">
        <v>45538</v>
      </c>
      <c r="C105" s="4" t="s">
        <v>228</v>
      </c>
      <c r="D105" s="4" t="s">
        <v>229</v>
      </c>
      <c r="E105" s="4" t="s">
        <v>82</v>
      </c>
      <c r="F105" s="4" t="s">
        <v>83</v>
      </c>
      <c r="G105" s="4" t="s">
        <v>21</v>
      </c>
      <c r="H105" s="4">
        <v>2</v>
      </c>
      <c r="I105" s="4">
        <v>699.99</v>
      </c>
      <c r="J105" s="4" t="s">
        <v>59</v>
      </c>
      <c r="K105" s="4" t="s">
        <v>23</v>
      </c>
      <c r="L105" s="4" t="s">
        <v>29</v>
      </c>
      <c r="M105" s="5">
        <v>44870</v>
      </c>
      <c r="N105" s="4">
        <v>1399.98</v>
      </c>
    </row>
    <row r="106" spans="1:14" ht="15.75" customHeight="1" x14ac:dyDescent="0.3">
      <c r="A106" s="4" t="s">
        <v>241</v>
      </c>
      <c r="B106" s="5">
        <v>45541</v>
      </c>
      <c r="C106" s="4" t="s">
        <v>140</v>
      </c>
      <c r="D106" s="4" t="s">
        <v>141</v>
      </c>
      <c r="E106" s="4" t="s">
        <v>33</v>
      </c>
      <c r="F106" s="4" t="s">
        <v>34</v>
      </c>
      <c r="G106" s="4" t="s">
        <v>35</v>
      </c>
      <c r="H106" s="4">
        <v>3</v>
      </c>
      <c r="I106" s="4">
        <v>59.99</v>
      </c>
      <c r="J106" s="4" t="s">
        <v>28</v>
      </c>
      <c r="K106" s="4" t="s">
        <v>23</v>
      </c>
      <c r="L106" s="4" t="s">
        <v>29</v>
      </c>
      <c r="M106" s="5">
        <v>44717</v>
      </c>
      <c r="N106" s="4">
        <v>179.97</v>
      </c>
    </row>
    <row r="107" spans="1:14" ht="15.75" customHeight="1" x14ac:dyDescent="0.3">
      <c r="A107" s="4" t="s">
        <v>242</v>
      </c>
      <c r="B107" s="5">
        <v>45544</v>
      </c>
      <c r="C107" s="4" t="s">
        <v>134</v>
      </c>
      <c r="D107" s="4" t="s">
        <v>135</v>
      </c>
      <c r="E107" s="4" t="s">
        <v>33</v>
      </c>
      <c r="F107" s="4" t="s">
        <v>34</v>
      </c>
      <c r="G107" s="4" t="s">
        <v>35</v>
      </c>
      <c r="H107" s="4">
        <v>3</v>
      </c>
      <c r="I107" s="4">
        <v>59.99</v>
      </c>
      <c r="J107" s="4" t="s">
        <v>36</v>
      </c>
      <c r="K107" s="4" t="s">
        <v>65</v>
      </c>
      <c r="L107" s="4" t="s">
        <v>38</v>
      </c>
      <c r="M107" s="5">
        <v>44748</v>
      </c>
      <c r="N107" s="4">
        <v>179.97</v>
      </c>
    </row>
    <row r="108" spans="1:14" ht="15.75" customHeight="1" x14ac:dyDescent="0.3">
      <c r="A108" s="4" t="s">
        <v>243</v>
      </c>
      <c r="B108" s="5">
        <v>45544</v>
      </c>
      <c r="C108" s="4" t="s">
        <v>143</v>
      </c>
      <c r="D108" s="4" t="s">
        <v>144</v>
      </c>
      <c r="E108" s="4" t="s">
        <v>116</v>
      </c>
      <c r="F108" s="4" t="s">
        <v>117</v>
      </c>
      <c r="G108" s="4" t="s">
        <v>35</v>
      </c>
      <c r="H108" s="4">
        <v>4</v>
      </c>
      <c r="I108" s="4">
        <v>79.989999999999995</v>
      </c>
      <c r="J108" s="4" t="s">
        <v>22</v>
      </c>
      <c r="K108" s="4" t="s">
        <v>42</v>
      </c>
      <c r="L108" s="4" t="s">
        <v>24</v>
      </c>
      <c r="M108" s="5">
        <v>44530</v>
      </c>
      <c r="N108" s="4">
        <v>319.95999999999998</v>
      </c>
    </row>
    <row r="109" spans="1:14" ht="15.75" customHeight="1" x14ac:dyDescent="0.3">
      <c r="A109" s="4" t="s">
        <v>244</v>
      </c>
      <c r="B109" s="5">
        <v>45545</v>
      </c>
      <c r="C109" s="4" t="s">
        <v>57</v>
      </c>
      <c r="D109" s="4" t="s">
        <v>58</v>
      </c>
      <c r="E109" s="4" t="s">
        <v>116</v>
      </c>
      <c r="F109" s="4" t="s">
        <v>117</v>
      </c>
      <c r="G109" s="4" t="s">
        <v>35</v>
      </c>
      <c r="H109" s="4">
        <v>1</v>
      </c>
      <c r="I109" s="4">
        <v>79.989999999999995</v>
      </c>
      <c r="J109" s="4" t="s">
        <v>22</v>
      </c>
      <c r="K109" s="4" t="s">
        <v>52</v>
      </c>
      <c r="L109" s="4" t="s">
        <v>24</v>
      </c>
      <c r="M109" s="5">
        <v>44693</v>
      </c>
      <c r="N109" s="4">
        <v>79.989999999999995</v>
      </c>
    </row>
    <row r="110" spans="1:14" ht="15.75" customHeight="1" x14ac:dyDescent="0.3">
      <c r="A110" s="4" t="s">
        <v>245</v>
      </c>
      <c r="B110" s="5">
        <v>45547</v>
      </c>
      <c r="C110" s="4" t="s">
        <v>50</v>
      </c>
      <c r="D110" s="4" t="s">
        <v>51</v>
      </c>
      <c r="E110" s="4" t="s">
        <v>107</v>
      </c>
      <c r="F110" s="4" t="s">
        <v>108</v>
      </c>
      <c r="G110" s="4" t="s">
        <v>48</v>
      </c>
      <c r="H110" s="4">
        <v>3</v>
      </c>
      <c r="I110" s="4">
        <v>299.99</v>
      </c>
      <c r="J110" s="4" t="s">
        <v>28</v>
      </c>
      <c r="K110" s="4" t="s">
        <v>23</v>
      </c>
      <c r="L110" s="4" t="s">
        <v>29</v>
      </c>
      <c r="M110" s="5">
        <v>44494</v>
      </c>
      <c r="N110" s="4">
        <v>899.97</v>
      </c>
    </row>
    <row r="111" spans="1:14" ht="15.75" customHeight="1" x14ac:dyDescent="0.3">
      <c r="A111" s="4" t="s">
        <v>246</v>
      </c>
      <c r="B111" s="5">
        <v>45548</v>
      </c>
      <c r="C111" s="4" t="s">
        <v>40</v>
      </c>
      <c r="D111" s="4" t="s">
        <v>41</v>
      </c>
      <c r="E111" s="4" t="s">
        <v>119</v>
      </c>
      <c r="F111" s="4" t="s">
        <v>120</v>
      </c>
      <c r="G111" s="4" t="s">
        <v>21</v>
      </c>
      <c r="H111" s="4">
        <v>2</v>
      </c>
      <c r="I111" s="4">
        <v>89.99</v>
      </c>
      <c r="J111" s="4" t="s">
        <v>28</v>
      </c>
      <c r="K111" s="4" t="s">
        <v>37</v>
      </c>
      <c r="L111" s="4" t="s">
        <v>29</v>
      </c>
      <c r="M111" s="5">
        <v>44641</v>
      </c>
      <c r="N111" s="4">
        <v>179.98</v>
      </c>
    </row>
    <row r="112" spans="1:14" ht="15.75" customHeight="1" x14ac:dyDescent="0.3">
      <c r="A112" s="4" t="s">
        <v>247</v>
      </c>
      <c r="B112" s="5">
        <v>45550</v>
      </c>
      <c r="C112" s="4" t="s">
        <v>248</v>
      </c>
      <c r="D112" s="4" t="s">
        <v>249</v>
      </c>
      <c r="E112" s="4" t="s">
        <v>54</v>
      </c>
      <c r="F112" s="4" t="s">
        <v>55</v>
      </c>
      <c r="G112" s="4" t="s">
        <v>21</v>
      </c>
      <c r="H112" s="4">
        <v>4</v>
      </c>
      <c r="I112" s="4">
        <v>149.99</v>
      </c>
      <c r="J112" s="4" t="s">
        <v>22</v>
      </c>
      <c r="K112" s="4" t="s">
        <v>42</v>
      </c>
      <c r="L112" s="4" t="s">
        <v>24</v>
      </c>
      <c r="M112" s="5">
        <v>44909</v>
      </c>
      <c r="N112" s="4">
        <v>599.96</v>
      </c>
    </row>
    <row r="113" spans="1:14" ht="15.75" customHeight="1" x14ac:dyDescent="0.3">
      <c r="A113" s="4" t="s">
        <v>250</v>
      </c>
      <c r="B113" s="5">
        <v>45551</v>
      </c>
      <c r="C113" s="4" t="s">
        <v>67</v>
      </c>
      <c r="D113" s="4" t="s">
        <v>68</v>
      </c>
      <c r="E113" s="4" t="s">
        <v>19</v>
      </c>
      <c r="F113" s="4" t="s">
        <v>20</v>
      </c>
      <c r="G113" s="4" t="s">
        <v>21</v>
      </c>
      <c r="H113" s="4">
        <v>2</v>
      </c>
      <c r="I113" s="4">
        <v>249.99</v>
      </c>
      <c r="J113" s="4" t="s">
        <v>36</v>
      </c>
      <c r="K113" s="4" t="s">
        <v>37</v>
      </c>
      <c r="L113" s="4" t="s">
        <v>24</v>
      </c>
      <c r="M113" s="5">
        <v>44993</v>
      </c>
      <c r="N113" s="4">
        <v>499.98</v>
      </c>
    </row>
    <row r="114" spans="1:14" ht="15.75" customHeight="1" x14ac:dyDescent="0.3">
      <c r="A114" s="4" t="s">
        <v>251</v>
      </c>
      <c r="B114" s="5">
        <v>45551</v>
      </c>
      <c r="C114" s="4" t="s">
        <v>156</v>
      </c>
      <c r="D114" s="4" t="s">
        <v>157</v>
      </c>
      <c r="E114" s="4" t="s">
        <v>128</v>
      </c>
      <c r="F114" s="4" t="s">
        <v>129</v>
      </c>
      <c r="G114" s="4" t="s">
        <v>48</v>
      </c>
      <c r="H114" s="4">
        <v>4</v>
      </c>
      <c r="I114" s="4">
        <v>199.99</v>
      </c>
      <c r="J114" s="4" t="s">
        <v>59</v>
      </c>
      <c r="K114" s="4" t="s">
        <v>65</v>
      </c>
      <c r="L114" s="4" t="s">
        <v>24</v>
      </c>
      <c r="M114" s="5">
        <v>44458</v>
      </c>
      <c r="N114" s="4">
        <v>799.96</v>
      </c>
    </row>
    <row r="115" spans="1:14" ht="15.75" customHeight="1" x14ac:dyDescent="0.3">
      <c r="A115" s="4" t="s">
        <v>252</v>
      </c>
      <c r="B115" s="5">
        <v>45554</v>
      </c>
      <c r="C115" s="4" t="s">
        <v>149</v>
      </c>
      <c r="D115" s="4" t="s">
        <v>150</v>
      </c>
      <c r="E115" s="4" t="s">
        <v>119</v>
      </c>
      <c r="F115" s="4" t="s">
        <v>120</v>
      </c>
      <c r="G115" s="4" t="s">
        <v>21</v>
      </c>
      <c r="H115" s="4">
        <v>5</v>
      </c>
      <c r="I115" s="4">
        <v>89.99</v>
      </c>
      <c r="J115" s="4" t="s">
        <v>28</v>
      </c>
      <c r="K115" s="4" t="s">
        <v>65</v>
      </c>
      <c r="L115" s="4" t="s">
        <v>29</v>
      </c>
      <c r="M115" s="5">
        <v>44446</v>
      </c>
      <c r="N115" s="4">
        <v>449.95</v>
      </c>
    </row>
    <row r="116" spans="1:14" ht="15.75" customHeight="1" x14ac:dyDescent="0.3">
      <c r="A116" s="4" t="s">
        <v>253</v>
      </c>
      <c r="B116" s="5">
        <v>45554</v>
      </c>
      <c r="C116" s="4" t="s">
        <v>254</v>
      </c>
      <c r="D116" s="4" t="s">
        <v>255</v>
      </c>
      <c r="E116" s="4" t="s">
        <v>54</v>
      </c>
      <c r="F116" s="4" t="s">
        <v>55</v>
      </c>
      <c r="G116" s="4" t="s">
        <v>21</v>
      </c>
      <c r="H116" s="4">
        <v>1</v>
      </c>
      <c r="I116" s="4">
        <v>149.99</v>
      </c>
      <c r="J116" s="4" t="s">
        <v>36</v>
      </c>
      <c r="K116" s="4" t="s">
        <v>65</v>
      </c>
      <c r="L116" s="4" t="s">
        <v>38</v>
      </c>
      <c r="M116" s="5">
        <v>44482</v>
      </c>
      <c r="N116" s="4">
        <v>149.99</v>
      </c>
    </row>
    <row r="117" spans="1:14" ht="15.75" customHeight="1" x14ac:dyDescent="0.3">
      <c r="A117" s="4" t="s">
        <v>256</v>
      </c>
      <c r="B117" s="5">
        <v>45554</v>
      </c>
      <c r="C117" s="4" t="s">
        <v>74</v>
      </c>
      <c r="D117" s="4" t="s">
        <v>75</v>
      </c>
      <c r="E117" s="4" t="s">
        <v>82</v>
      </c>
      <c r="F117" s="4" t="s">
        <v>83</v>
      </c>
      <c r="G117" s="4" t="s">
        <v>21</v>
      </c>
      <c r="H117" s="4">
        <v>4</v>
      </c>
      <c r="I117" s="4">
        <v>699.99</v>
      </c>
      <c r="J117" s="4" t="s">
        <v>36</v>
      </c>
      <c r="K117" s="4" t="s">
        <v>37</v>
      </c>
      <c r="L117" s="4" t="s">
        <v>24</v>
      </c>
      <c r="M117" s="5">
        <v>44618</v>
      </c>
      <c r="N117" s="4">
        <v>2799.96</v>
      </c>
    </row>
    <row r="118" spans="1:14" ht="15.75" customHeight="1" x14ac:dyDescent="0.3">
      <c r="A118" s="4" t="s">
        <v>257</v>
      </c>
      <c r="B118" s="5">
        <v>45559</v>
      </c>
      <c r="C118" s="4" t="s">
        <v>236</v>
      </c>
      <c r="D118" s="4" t="s">
        <v>237</v>
      </c>
      <c r="E118" s="4" t="s">
        <v>63</v>
      </c>
      <c r="F118" s="4" t="s">
        <v>64</v>
      </c>
      <c r="G118" s="4" t="s">
        <v>21</v>
      </c>
      <c r="H118" s="4">
        <v>3</v>
      </c>
      <c r="I118" s="4">
        <v>899.99</v>
      </c>
      <c r="J118" s="4" t="s">
        <v>28</v>
      </c>
      <c r="K118" s="4" t="s">
        <v>42</v>
      </c>
      <c r="L118" s="4" t="s">
        <v>38</v>
      </c>
      <c r="M118" s="5">
        <v>45157</v>
      </c>
      <c r="N118" s="4">
        <v>2699.97</v>
      </c>
    </row>
    <row r="119" spans="1:14" ht="15.75" customHeight="1" x14ac:dyDescent="0.3">
      <c r="A119" s="4" t="s">
        <v>258</v>
      </c>
      <c r="B119" s="5">
        <v>45560</v>
      </c>
      <c r="C119" s="4" t="s">
        <v>114</v>
      </c>
      <c r="D119" s="4" t="s">
        <v>115</v>
      </c>
      <c r="E119" s="4" t="s">
        <v>46</v>
      </c>
      <c r="F119" s="4" t="s">
        <v>47</v>
      </c>
      <c r="G119" s="4" t="s">
        <v>48</v>
      </c>
      <c r="H119" s="4">
        <v>3</v>
      </c>
      <c r="I119" s="4">
        <v>149.99</v>
      </c>
      <c r="J119" s="4" t="s">
        <v>36</v>
      </c>
      <c r="K119" s="4" t="s">
        <v>65</v>
      </c>
      <c r="L119" s="4" t="s">
        <v>24</v>
      </c>
      <c r="M119" s="5">
        <v>44886</v>
      </c>
      <c r="N119" s="4">
        <v>449.97</v>
      </c>
    </row>
    <row r="120" spans="1:14" ht="15.75" customHeight="1" x14ac:dyDescent="0.3">
      <c r="A120" s="4" t="s">
        <v>259</v>
      </c>
      <c r="B120" s="5">
        <v>45563</v>
      </c>
      <c r="C120" s="4" t="s">
        <v>101</v>
      </c>
      <c r="D120" s="4" t="s">
        <v>102</v>
      </c>
      <c r="E120" s="4" t="s">
        <v>107</v>
      </c>
      <c r="F120" s="4" t="s">
        <v>108</v>
      </c>
      <c r="G120" s="4" t="s">
        <v>48</v>
      </c>
      <c r="H120" s="4">
        <v>2</v>
      </c>
      <c r="I120" s="4">
        <v>299.99</v>
      </c>
      <c r="J120" s="4" t="s">
        <v>59</v>
      </c>
      <c r="K120" s="4" t="s">
        <v>23</v>
      </c>
      <c r="L120" s="4" t="s">
        <v>24</v>
      </c>
      <c r="M120" s="5">
        <v>44569</v>
      </c>
      <c r="N120" s="4">
        <v>599.98</v>
      </c>
    </row>
    <row r="121" spans="1:14" ht="15.75" customHeight="1" x14ac:dyDescent="0.3">
      <c r="A121" s="4" t="s">
        <v>260</v>
      </c>
      <c r="B121" s="5">
        <v>45564</v>
      </c>
      <c r="C121" s="4" t="s">
        <v>261</v>
      </c>
      <c r="D121" s="4" t="s">
        <v>262</v>
      </c>
      <c r="E121" s="4" t="s">
        <v>128</v>
      </c>
      <c r="F121" s="4" t="s">
        <v>129</v>
      </c>
      <c r="G121" s="4" t="s">
        <v>48</v>
      </c>
      <c r="H121" s="4">
        <v>1</v>
      </c>
      <c r="I121" s="4">
        <v>199.99</v>
      </c>
      <c r="J121" s="4" t="s">
        <v>59</v>
      </c>
      <c r="K121" s="4" t="s">
        <v>65</v>
      </c>
      <c r="L121" s="4" t="s">
        <v>38</v>
      </c>
      <c r="M121" s="5">
        <v>44953</v>
      </c>
      <c r="N121" s="4">
        <v>199.99</v>
      </c>
    </row>
    <row r="122" spans="1:14" ht="15.75" customHeight="1" x14ac:dyDescent="0.3">
      <c r="A122" s="4" t="s">
        <v>263</v>
      </c>
      <c r="B122" s="5">
        <v>45566</v>
      </c>
      <c r="C122" s="4" t="s">
        <v>44</v>
      </c>
      <c r="D122" s="4" t="s">
        <v>45</v>
      </c>
      <c r="E122" s="4" t="s">
        <v>107</v>
      </c>
      <c r="F122" s="4" t="s">
        <v>108</v>
      </c>
      <c r="G122" s="4" t="s">
        <v>48</v>
      </c>
      <c r="H122" s="4">
        <v>4</v>
      </c>
      <c r="I122" s="4">
        <v>299.99</v>
      </c>
      <c r="J122" s="4" t="s">
        <v>22</v>
      </c>
      <c r="K122" s="4" t="s">
        <v>23</v>
      </c>
      <c r="L122" s="4" t="s">
        <v>29</v>
      </c>
      <c r="M122" s="5">
        <v>44460</v>
      </c>
      <c r="N122" s="4">
        <v>1199.96</v>
      </c>
    </row>
    <row r="123" spans="1:14" ht="15.75" customHeight="1" x14ac:dyDescent="0.3">
      <c r="A123" s="4" t="s">
        <v>264</v>
      </c>
      <c r="B123" s="5">
        <v>45572</v>
      </c>
      <c r="C123" s="4" t="s">
        <v>91</v>
      </c>
      <c r="D123" s="4" t="s">
        <v>92</v>
      </c>
      <c r="E123" s="4" t="s">
        <v>33</v>
      </c>
      <c r="F123" s="4" t="s">
        <v>34</v>
      </c>
      <c r="G123" s="4" t="s">
        <v>35</v>
      </c>
      <c r="H123" s="4">
        <v>2</v>
      </c>
      <c r="I123" s="4">
        <v>59.99</v>
      </c>
      <c r="J123" s="4" t="s">
        <v>28</v>
      </c>
      <c r="K123" s="4" t="s">
        <v>23</v>
      </c>
      <c r="L123" s="4" t="s">
        <v>24</v>
      </c>
      <c r="M123" s="5">
        <v>44579</v>
      </c>
      <c r="N123" s="4">
        <v>119.98</v>
      </c>
    </row>
    <row r="124" spans="1:14" ht="15.75" customHeight="1" x14ac:dyDescent="0.3">
      <c r="A124" s="4" t="s">
        <v>265</v>
      </c>
      <c r="B124" s="5">
        <v>45572</v>
      </c>
      <c r="C124" s="4" t="s">
        <v>236</v>
      </c>
      <c r="D124" s="4" t="s">
        <v>237</v>
      </c>
      <c r="E124" s="4" t="s">
        <v>54</v>
      </c>
      <c r="F124" s="4" t="s">
        <v>55</v>
      </c>
      <c r="G124" s="4" t="s">
        <v>21</v>
      </c>
      <c r="H124" s="4">
        <v>4</v>
      </c>
      <c r="I124" s="4">
        <v>149.99</v>
      </c>
      <c r="J124" s="4" t="s">
        <v>28</v>
      </c>
      <c r="K124" s="4" t="s">
        <v>42</v>
      </c>
      <c r="L124" s="4" t="s">
        <v>29</v>
      </c>
      <c r="M124" s="5">
        <v>45076</v>
      </c>
      <c r="N124" s="4">
        <v>599.96</v>
      </c>
    </row>
    <row r="125" spans="1:14" ht="15.75" customHeight="1" x14ac:dyDescent="0.3">
      <c r="A125" s="4" t="s">
        <v>266</v>
      </c>
      <c r="B125" s="5">
        <v>45573</v>
      </c>
      <c r="C125" s="4" t="s">
        <v>213</v>
      </c>
      <c r="D125" s="4" t="s">
        <v>214</v>
      </c>
      <c r="E125" s="4" t="s">
        <v>82</v>
      </c>
      <c r="F125" s="4" t="s">
        <v>83</v>
      </c>
      <c r="G125" s="4" t="s">
        <v>21</v>
      </c>
      <c r="H125" s="4">
        <v>2</v>
      </c>
      <c r="I125" s="4">
        <v>699.99</v>
      </c>
      <c r="J125" s="4" t="s">
        <v>59</v>
      </c>
      <c r="K125" s="4" t="s">
        <v>65</v>
      </c>
      <c r="L125" s="4" t="s">
        <v>29</v>
      </c>
      <c r="M125" s="5">
        <v>45274</v>
      </c>
      <c r="N125" s="4">
        <v>1399.98</v>
      </c>
    </row>
    <row r="126" spans="1:14" ht="15.75" customHeight="1" x14ac:dyDescent="0.3">
      <c r="A126" s="4" t="s">
        <v>267</v>
      </c>
      <c r="B126" s="5">
        <v>45573</v>
      </c>
      <c r="C126" s="4" t="s">
        <v>233</v>
      </c>
      <c r="D126" s="4" t="s">
        <v>234</v>
      </c>
      <c r="E126" s="4" t="s">
        <v>46</v>
      </c>
      <c r="F126" s="4" t="s">
        <v>47</v>
      </c>
      <c r="G126" s="4" t="s">
        <v>48</v>
      </c>
      <c r="H126" s="4">
        <v>3</v>
      </c>
      <c r="I126" s="4">
        <v>149.99</v>
      </c>
      <c r="J126" s="4" t="s">
        <v>28</v>
      </c>
      <c r="K126" s="4" t="s">
        <v>37</v>
      </c>
      <c r="L126" s="4" t="s">
        <v>38</v>
      </c>
      <c r="M126" s="5">
        <v>44940</v>
      </c>
      <c r="N126" s="4">
        <v>449.97</v>
      </c>
    </row>
    <row r="127" spans="1:14" ht="15.75" customHeight="1" x14ac:dyDescent="0.3">
      <c r="A127" s="4" t="s">
        <v>268</v>
      </c>
      <c r="B127" s="5">
        <v>45576</v>
      </c>
      <c r="C127" s="4" t="s">
        <v>149</v>
      </c>
      <c r="D127" s="4" t="s">
        <v>150</v>
      </c>
      <c r="E127" s="4" t="s">
        <v>107</v>
      </c>
      <c r="F127" s="4" t="s">
        <v>108</v>
      </c>
      <c r="G127" s="4" t="s">
        <v>48</v>
      </c>
      <c r="H127" s="4">
        <v>3</v>
      </c>
      <c r="I127" s="4">
        <v>299.99</v>
      </c>
      <c r="J127" s="4" t="s">
        <v>28</v>
      </c>
      <c r="K127" s="4" t="s">
        <v>23</v>
      </c>
      <c r="L127" s="4" t="s">
        <v>38</v>
      </c>
      <c r="M127" s="5">
        <v>45174</v>
      </c>
      <c r="N127" s="4">
        <v>899.97</v>
      </c>
    </row>
    <row r="128" spans="1:14" ht="15.75" customHeight="1" x14ac:dyDescent="0.3">
      <c r="A128" s="4" t="s">
        <v>269</v>
      </c>
      <c r="B128" s="5">
        <v>45579</v>
      </c>
      <c r="C128" s="4" t="s">
        <v>85</v>
      </c>
      <c r="D128" s="4" t="s">
        <v>86</v>
      </c>
      <c r="E128" s="4" t="s">
        <v>63</v>
      </c>
      <c r="F128" s="4" t="s">
        <v>64</v>
      </c>
      <c r="G128" s="4" t="s">
        <v>21</v>
      </c>
      <c r="H128" s="4">
        <v>3</v>
      </c>
      <c r="I128" s="4">
        <v>899.99</v>
      </c>
      <c r="J128" s="4" t="s">
        <v>36</v>
      </c>
      <c r="K128" s="4" t="s">
        <v>52</v>
      </c>
      <c r="L128" s="4" t="s">
        <v>24</v>
      </c>
      <c r="M128" s="5">
        <v>45215</v>
      </c>
      <c r="N128" s="4">
        <v>2699.97</v>
      </c>
    </row>
    <row r="129" spans="1:14" ht="15.75" customHeight="1" x14ac:dyDescent="0.3">
      <c r="A129" s="4" t="s">
        <v>270</v>
      </c>
      <c r="B129" s="5">
        <v>45581</v>
      </c>
      <c r="C129" s="4" t="s">
        <v>98</v>
      </c>
      <c r="D129" s="4" t="s">
        <v>99</v>
      </c>
      <c r="E129" s="4" t="s">
        <v>82</v>
      </c>
      <c r="F129" s="4" t="s">
        <v>83</v>
      </c>
      <c r="G129" s="4" t="s">
        <v>21</v>
      </c>
      <c r="H129" s="4">
        <v>5</v>
      </c>
      <c r="I129" s="4">
        <v>699.99</v>
      </c>
      <c r="J129" s="4" t="s">
        <v>22</v>
      </c>
      <c r="K129" s="4" t="s">
        <v>65</v>
      </c>
      <c r="L129" s="4" t="s">
        <v>38</v>
      </c>
      <c r="M129" s="5">
        <v>45008</v>
      </c>
      <c r="N129" s="4">
        <v>3499.95</v>
      </c>
    </row>
    <row r="130" spans="1:14" ht="15.75" customHeight="1" x14ac:dyDescent="0.3">
      <c r="A130" s="4" t="s">
        <v>271</v>
      </c>
      <c r="B130" s="5">
        <v>45581</v>
      </c>
      <c r="C130" s="4" t="s">
        <v>173</v>
      </c>
      <c r="D130" s="4" t="s">
        <v>174</v>
      </c>
      <c r="E130" s="4" t="s">
        <v>82</v>
      </c>
      <c r="F130" s="4" t="s">
        <v>83</v>
      </c>
      <c r="G130" s="4" t="s">
        <v>21</v>
      </c>
      <c r="H130" s="4">
        <v>4</v>
      </c>
      <c r="I130" s="4">
        <v>699.99</v>
      </c>
      <c r="J130" s="4" t="s">
        <v>28</v>
      </c>
      <c r="K130" s="4" t="s">
        <v>23</v>
      </c>
      <c r="L130" s="4" t="s">
        <v>24</v>
      </c>
      <c r="M130" s="5">
        <v>45385</v>
      </c>
      <c r="N130" s="4">
        <v>2799.96</v>
      </c>
    </row>
    <row r="131" spans="1:14" ht="15.75" customHeight="1" x14ac:dyDescent="0.3">
      <c r="A131" s="4" t="s">
        <v>272</v>
      </c>
      <c r="B131" s="5">
        <v>45581</v>
      </c>
      <c r="C131" s="4" t="s">
        <v>152</v>
      </c>
      <c r="D131" s="4" t="s">
        <v>153</v>
      </c>
      <c r="E131" s="4" t="s">
        <v>63</v>
      </c>
      <c r="F131" s="4" t="s">
        <v>64</v>
      </c>
      <c r="G131" s="4" t="s">
        <v>21</v>
      </c>
      <c r="H131" s="4">
        <v>1</v>
      </c>
      <c r="I131" s="4">
        <v>899.99</v>
      </c>
      <c r="J131" s="4" t="s">
        <v>28</v>
      </c>
      <c r="K131" s="4" t="s">
        <v>65</v>
      </c>
      <c r="L131" s="4" t="s">
        <v>38</v>
      </c>
      <c r="M131" s="5">
        <v>45369</v>
      </c>
      <c r="N131" s="4">
        <v>899.99</v>
      </c>
    </row>
    <row r="132" spans="1:14" ht="15.75" customHeight="1" x14ac:dyDescent="0.3">
      <c r="A132" s="4" t="s">
        <v>273</v>
      </c>
      <c r="B132" s="5">
        <v>45583</v>
      </c>
      <c r="C132" s="4" t="s">
        <v>228</v>
      </c>
      <c r="D132" s="4" t="s">
        <v>229</v>
      </c>
      <c r="E132" s="4" t="s">
        <v>54</v>
      </c>
      <c r="F132" s="4" t="s">
        <v>55</v>
      </c>
      <c r="G132" s="4" t="s">
        <v>21</v>
      </c>
      <c r="H132" s="4">
        <v>2</v>
      </c>
      <c r="I132" s="4">
        <v>149.99</v>
      </c>
      <c r="J132" s="4" t="s">
        <v>28</v>
      </c>
      <c r="K132" s="4" t="s">
        <v>52</v>
      </c>
      <c r="L132" s="4" t="s">
        <v>24</v>
      </c>
      <c r="M132" s="5">
        <v>44916</v>
      </c>
      <c r="N132" s="4">
        <v>299.98</v>
      </c>
    </row>
    <row r="133" spans="1:14" ht="15.75" customHeight="1" x14ac:dyDescent="0.3">
      <c r="A133" s="4" t="s">
        <v>274</v>
      </c>
      <c r="B133" s="5">
        <v>45586</v>
      </c>
      <c r="C133" s="4" t="s">
        <v>228</v>
      </c>
      <c r="D133" s="4" t="s">
        <v>229</v>
      </c>
      <c r="E133" s="4" t="s">
        <v>119</v>
      </c>
      <c r="F133" s="4" t="s">
        <v>120</v>
      </c>
      <c r="G133" s="4" t="s">
        <v>21</v>
      </c>
      <c r="H133" s="4">
        <v>3</v>
      </c>
      <c r="I133" s="4">
        <v>89.99</v>
      </c>
      <c r="J133" s="4" t="s">
        <v>36</v>
      </c>
      <c r="K133" s="4" t="s">
        <v>23</v>
      </c>
      <c r="L133" s="4" t="s">
        <v>24</v>
      </c>
      <c r="M133" s="5">
        <v>44551</v>
      </c>
      <c r="N133" s="4">
        <v>269.97000000000003</v>
      </c>
    </row>
    <row r="134" spans="1:14" ht="15.75" customHeight="1" x14ac:dyDescent="0.3">
      <c r="A134" s="4" t="s">
        <v>275</v>
      </c>
      <c r="B134" s="5">
        <v>45588</v>
      </c>
      <c r="C134" s="4" t="s">
        <v>40</v>
      </c>
      <c r="D134" s="4" t="s">
        <v>41</v>
      </c>
      <c r="E134" s="4" t="s">
        <v>54</v>
      </c>
      <c r="F134" s="4" t="s">
        <v>55</v>
      </c>
      <c r="G134" s="4" t="s">
        <v>21</v>
      </c>
      <c r="H134" s="4">
        <v>2</v>
      </c>
      <c r="I134" s="4">
        <v>149.99</v>
      </c>
      <c r="J134" s="4" t="s">
        <v>36</v>
      </c>
      <c r="K134" s="4" t="s">
        <v>23</v>
      </c>
      <c r="L134" s="4" t="s">
        <v>24</v>
      </c>
      <c r="M134" s="5">
        <v>44473</v>
      </c>
      <c r="N134" s="4">
        <v>299.98</v>
      </c>
    </row>
    <row r="135" spans="1:14" ht="15.75" customHeight="1" x14ac:dyDescent="0.3">
      <c r="A135" s="4" t="s">
        <v>276</v>
      </c>
      <c r="B135" s="5">
        <v>45588</v>
      </c>
      <c r="C135" s="4" t="s">
        <v>156</v>
      </c>
      <c r="D135" s="4" t="s">
        <v>157</v>
      </c>
      <c r="E135" s="4" t="s">
        <v>82</v>
      </c>
      <c r="F135" s="4" t="s">
        <v>83</v>
      </c>
      <c r="G135" s="4" t="s">
        <v>21</v>
      </c>
      <c r="H135" s="4">
        <v>2</v>
      </c>
      <c r="I135" s="4">
        <v>699.99</v>
      </c>
      <c r="J135" s="4" t="s">
        <v>22</v>
      </c>
      <c r="K135" s="4" t="s">
        <v>23</v>
      </c>
      <c r="L135" s="4" t="s">
        <v>24</v>
      </c>
      <c r="M135" s="5">
        <v>44992</v>
      </c>
      <c r="N135" s="4">
        <v>1399.98</v>
      </c>
    </row>
    <row r="136" spans="1:14" ht="15.75" customHeight="1" x14ac:dyDescent="0.3">
      <c r="A136" s="4" t="s">
        <v>277</v>
      </c>
      <c r="B136" s="5">
        <v>45589</v>
      </c>
      <c r="C136" s="4" t="s">
        <v>160</v>
      </c>
      <c r="D136" s="4" t="s">
        <v>161</v>
      </c>
      <c r="E136" s="4" t="s">
        <v>82</v>
      </c>
      <c r="F136" s="4" t="s">
        <v>83</v>
      </c>
      <c r="G136" s="4" t="s">
        <v>21</v>
      </c>
      <c r="H136" s="4">
        <v>5</v>
      </c>
      <c r="I136" s="4">
        <v>699.99</v>
      </c>
      <c r="J136" s="4" t="s">
        <v>22</v>
      </c>
      <c r="K136" s="4" t="s">
        <v>42</v>
      </c>
      <c r="L136" s="4" t="s">
        <v>29</v>
      </c>
      <c r="M136" s="5">
        <v>44635</v>
      </c>
      <c r="N136" s="4">
        <v>3499.95</v>
      </c>
    </row>
    <row r="137" spans="1:14" ht="15.75" customHeight="1" x14ac:dyDescent="0.3">
      <c r="A137" s="4" t="s">
        <v>278</v>
      </c>
      <c r="B137" s="5">
        <v>45592</v>
      </c>
      <c r="C137" s="4" t="s">
        <v>173</v>
      </c>
      <c r="D137" s="4" t="s">
        <v>174</v>
      </c>
      <c r="E137" s="4" t="s">
        <v>119</v>
      </c>
      <c r="F137" s="4" t="s">
        <v>120</v>
      </c>
      <c r="G137" s="4" t="s">
        <v>21</v>
      </c>
      <c r="H137" s="4">
        <v>3</v>
      </c>
      <c r="I137" s="4">
        <v>89.99</v>
      </c>
      <c r="J137" s="4" t="s">
        <v>28</v>
      </c>
      <c r="K137" s="4" t="s">
        <v>42</v>
      </c>
      <c r="L137" s="4" t="s">
        <v>38</v>
      </c>
      <c r="M137" s="5">
        <v>44615</v>
      </c>
      <c r="N137" s="4">
        <v>269.97000000000003</v>
      </c>
    </row>
    <row r="138" spans="1:14" ht="15.75" customHeight="1" x14ac:dyDescent="0.3">
      <c r="A138" s="4" t="s">
        <v>279</v>
      </c>
      <c r="B138" s="5">
        <v>45597</v>
      </c>
      <c r="C138" s="4" t="s">
        <v>17</v>
      </c>
      <c r="D138" s="4" t="s">
        <v>18</v>
      </c>
      <c r="E138" s="4" t="s">
        <v>19</v>
      </c>
      <c r="F138" s="4" t="s">
        <v>20</v>
      </c>
      <c r="G138" s="4" t="s">
        <v>21</v>
      </c>
      <c r="H138" s="4">
        <v>5</v>
      </c>
      <c r="I138" s="4">
        <v>249.99</v>
      </c>
      <c r="J138" s="4" t="s">
        <v>28</v>
      </c>
      <c r="K138" s="4" t="s">
        <v>37</v>
      </c>
      <c r="L138" s="4" t="s">
        <v>38</v>
      </c>
      <c r="M138" s="5">
        <v>44881</v>
      </c>
      <c r="N138" s="4">
        <v>1249.95</v>
      </c>
    </row>
    <row r="139" spans="1:14" ht="15.75" customHeight="1" x14ac:dyDescent="0.3">
      <c r="A139" s="4" t="s">
        <v>280</v>
      </c>
      <c r="B139" s="5">
        <v>45600</v>
      </c>
      <c r="C139" s="4" t="s">
        <v>67</v>
      </c>
      <c r="D139" s="4" t="s">
        <v>68</v>
      </c>
      <c r="E139" s="4" t="s">
        <v>107</v>
      </c>
      <c r="F139" s="4" t="s">
        <v>108</v>
      </c>
      <c r="G139" s="4" t="s">
        <v>48</v>
      </c>
      <c r="H139" s="4">
        <v>3</v>
      </c>
      <c r="I139" s="4">
        <v>299.99</v>
      </c>
      <c r="J139" s="4" t="s">
        <v>28</v>
      </c>
      <c r="K139" s="4" t="s">
        <v>37</v>
      </c>
      <c r="L139" s="4" t="s">
        <v>38</v>
      </c>
      <c r="M139" s="5">
        <v>44502</v>
      </c>
      <c r="N139" s="4">
        <v>899.97</v>
      </c>
    </row>
    <row r="140" spans="1:14" ht="15.75" customHeight="1" x14ac:dyDescent="0.3">
      <c r="A140" s="4" t="s">
        <v>281</v>
      </c>
      <c r="B140" s="5">
        <v>45603</v>
      </c>
      <c r="C140" s="4" t="s">
        <v>101</v>
      </c>
      <c r="D140" s="4" t="s">
        <v>102</v>
      </c>
      <c r="E140" s="4" t="s">
        <v>119</v>
      </c>
      <c r="F140" s="4" t="s">
        <v>120</v>
      </c>
      <c r="G140" s="4" t="s">
        <v>21</v>
      </c>
      <c r="H140" s="4">
        <v>3</v>
      </c>
      <c r="I140" s="4">
        <v>89.99</v>
      </c>
      <c r="J140" s="4" t="s">
        <v>28</v>
      </c>
      <c r="K140" s="4" t="s">
        <v>42</v>
      </c>
      <c r="L140" s="4" t="s">
        <v>29</v>
      </c>
      <c r="M140" s="5">
        <v>44420</v>
      </c>
      <c r="N140" s="4">
        <v>269.97000000000003</v>
      </c>
    </row>
    <row r="141" spans="1:14" ht="15.75" customHeight="1" x14ac:dyDescent="0.3">
      <c r="A141" s="4" t="s">
        <v>282</v>
      </c>
      <c r="B141" s="5">
        <v>45604</v>
      </c>
      <c r="C141" s="4" t="s">
        <v>91</v>
      </c>
      <c r="D141" s="4" t="s">
        <v>92</v>
      </c>
      <c r="E141" s="4" t="s">
        <v>46</v>
      </c>
      <c r="F141" s="4" t="s">
        <v>47</v>
      </c>
      <c r="G141" s="4" t="s">
        <v>48</v>
      </c>
      <c r="H141" s="4">
        <v>2</v>
      </c>
      <c r="I141" s="4">
        <v>149.99</v>
      </c>
      <c r="J141" s="4" t="s">
        <v>28</v>
      </c>
      <c r="K141" s="4" t="s">
        <v>52</v>
      </c>
      <c r="L141" s="4" t="s">
        <v>29</v>
      </c>
      <c r="M141" s="5">
        <v>44848</v>
      </c>
      <c r="N141" s="4">
        <v>299.98</v>
      </c>
    </row>
    <row r="142" spans="1:14" ht="15.75" customHeight="1" x14ac:dyDescent="0.3">
      <c r="A142" s="4" t="s">
        <v>283</v>
      </c>
      <c r="B142" s="5">
        <v>45605</v>
      </c>
      <c r="C142" s="4" t="s">
        <v>187</v>
      </c>
      <c r="D142" s="4" t="s">
        <v>188</v>
      </c>
      <c r="E142" s="4" t="s">
        <v>19</v>
      </c>
      <c r="F142" s="4" t="s">
        <v>20</v>
      </c>
      <c r="G142" s="4" t="s">
        <v>21</v>
      </c>
      <c r="H142" s="4">
        <v>1</v>
      </c>
      <c r="I142" s="4">
        <v>249.99</v>
      </c>
      <c r="J142" s="4" t="s">
        <v>28</v>
      </c>
      <c r="K142" s="4" t="s">
        <v>42</v>
      </c>
      <c r="L142" s="4" t="s">
        <v>29</v>
      </c>
      <c r="M142" s="5">
        <v>44828</v>
      </c>
      <c r="N142" s="4">
        <v>249.99</v>
      </c>
    </row>
    <row r="143" spans="1:14" ht="15.75" customHeight="1" x14ac:dyDescent="0.3">
      <c r="A143" s="4" t="s">
        <v>284</v>
      </c>
      <c r="B143" s="5">
        <v>45607</v>
      </c>
      <c r="C143" s="4" t="s">
        <v>74</v>
      </c>
      <c r="D143" s="4" t="s">
        <v>75</v>
      </c>
      <c r="E143" s="4" t="s">
        <v>54</v>
      </c>
      <c r="F143" s="4" t="s">
        <v>55</v>
      </c>
      <c r="G143" s="4" t="s">
        <v>21</v>
      </c>
      <c r="H143" s="4">
        <v>3</v>
      </c>
      <c r="I143" s="4">
        <v>149.99</v>
      </c>
      <c r="J143" s="4" t="s">
        <v>22</v>
      </c>
      <c r="K143" s="4" t="s">
        <v>42</v>
      </c>
      <c r="L143" s="4" t="s">
        <v>24</v>
      </c>
      <c r="M143" s="5">
        <v>44769</v>
      </c>
      <c r="N143" s="4">
        <v>449.97</v>
      </c>
    </row>
    <row r="144" spans="1:14" ht="15.75" customHeight="1" x14ac:dyDescent="0.3">
      <c r="A144" s="4" t="s">
        <v>285</v>
      </c>
      <c r="B144" s="5">
        <v>45607</v>
      </c>
      <c r="C144" s="4" t="s">
        <v>17</v>
      </c>
      <c r="D144" s="4" t="s">
        <v>18</v>
      </c>
      <c r="E144" s="4" t="s">
        <v>33</v>
      </c>
      <c r="F144" s="4" t="s">
        <v>34</v>
      </c>
      <c r="G144" s="4" t="s">
        <v>35</v>
      </c>
      <c r="H144" s="4">
        <v>5</v>
      </c>
      <c r="I144" s="4">
        <v>59.99</v>
      </c>
      <c r="J144" s="4" t="s">
        <v>36</v>
      </c>
      <c r="K144" s="4" t="s">
        <v>52</v>
      </c>
      <c r="L144" s="4" t="s">
        <v>29</v>
      </c>
      <c r="M144" s="5">
        <v>44694</v>
      </c>
      <c r="N144" s="4">
        <v>299.95</v>
      </c>
    </row>
    <row r="145" spans="1:14" ht="15.75" customHeight="1" x14ac:dyDescent="0.3">
      <c r="A145" s="4" t="s">
        <v>286</v>
      </c>
      <c r="B145" s="5">
        <v>45607</v>
      </c>
      <c r="C145" s="4" t="s">
        <v>101</v>
      </c>
      <c r="D145" s="4" t="s">
        <v>102</v>
      </c>
      <c r="E145" s="4" t="s">
        <v>19</v>
      </c>
      <c r="F145" s="4" t="s">
        <v>20</v>
      </c>
      <c r="G145" s="4" t="s">
        <v>21</v>
      </c>
      <c r="H145" s="4">
        <v>4</v>
      </c>
      <c r="I145" s="4">
        <v>249.99</v>
      </c>
      <c r="J145" s="4" t="s">
        <v>28</v>
      </c>
      <c r="K145" s="4" t="s">
        <v>52</v>
      </c>
      <c r="L145" s="4" t="s">
        <v>38</v>
      </c>
      <c r="M145" s="5">
        <v>44659</v>
      </c>
      <c r="N145" s="4">
        <v>999.96</v>
      </c>
    </row>
    <row r="146" spans="1:14" ht="15.75" customHeight="1" x14ac:dyDescent="0.3">
      <c r="A146" s="4" t="s">
        <v>287</v>
      </c>
      <c r="B146" s="5">
        <v>45608</v>
      </c>
      <c r="C146" s="4" t="s">
        <v>156</v>
      </c>
      <c r="D146" s="4" t="s">
        <v>157</v>
      </c>
      <c r="E146" s="4" t="s">
        <v>46</v>
      </c>
      <c r="F146" s="4" t="s">
        <v>47</v>
      </c>
      <c r="G146" s="4" t="s">
        <v>48</v>
      </c>
      <c r="H146" s="4">
        <v>5</v>
      </c>
      <c r="I146" s="4">
        <v>149.99</v>
      </c>
      <c r="J146" s="4" t="s">
        <v>36</v>
      </c>
      <c r="K146" s="4" t="s">
        <v>23</v>
      </c>
      <c r="L146" s="4" t="s">
        <v>24</v>
      </c>
      <c r="M146" s="5">
        <v>44901</v>
      </c>
      <c r="N146" s="4">
        <v>749.95</v>
      </c>
    </row>
    <row r="147" spans="1:14" ht="15.75" customHeight="1" x14ac:dyDescent="0.3">
      <c r="A147" s="4" t="s">
        <v>288</v>
      </c>
      <c r="B147" s="5">
        <v>45608</v>
      </c>
      <c r="C147" s="4" t="s">
        <v>85</v>
      </c>
      <c r="D147" s="4" t="s">
        <v>86</v>
      </c>
      <c r="E147" s="4" t="s">
        <v>33</v>
      </c>
      <c r="F147" s="4" t="s">
        <v>34</v>
      </c>
      <c r="G147" s="4" t="s">
        <v>35</v>
      </c>
      <c r="H147" s="4">
        <v>3</v>
      </c>
      <c r="I147" s="4">
        <v>59.99</v>
      </c>
      <c r="J147" s="4" t="s">
        <v>59</v>
      </c>
      <c r="K147" s="4" t="s">
        <v>37</v>
      </c>
      <c r="L147" s="4" t="s">
        <v>38</v>
      </c>
      <c r="M147" s="5">
        <v>45260</v>
      </c>
      <c r="N147" s="4">
        <v>179.97</v>
      </c>
    </row>
    <row r="148" spans="1:14" ht="15.75" customHeight="1" x14ac:dyDescent="0.3">
      <c r="A148" s="4" t="s">
        <v>289</v>
      </c>
      <c r="B148" s="5">
        <v>45613</v>
      </c>
      <c r="C148" s="4" t="s">
        <v>236</v>
      </c>
      <c r="D148" s="4" t="s">
        <v>237</v>
      </c>
      <c r="E148" s="4" t="s">
        <v>46</v>
      </c>
      <c r="F148" s="4" t="s">
        <v>47</v>
      </c>
      <c r="G148" s="4" t="s">
        <v>48</v>
      </c>
      <c r="H148" s="4">
        <v>5</v>
      </c>
      <c r="I148" s="4">
        <v>149.99</v>
      </c>
      <c r="J148" s="4" t="s">
        <v>22</v>
      </c>
      <c r="K148" s="4" t="s">
        <v>42</v>
      </c>
      <c r="L148" s="4" t="s">
        <v>24</v>
      </c>
      <c r="M148" s="5">
        <v>44869</v>
      </c>
      <c r="N148" s="4">
        <v>749.95</v>
      </c>
    </row>
    <row r="149" spans="1:14" ht="15.75" customHeight="1" x14ac:dyDescent="0.3">
      <c r="A149" s="4" t="s">
        <v>290</v>
      </c>
      <c r="B149" s="5">
        <v>45613</v>
      </c>
      <c r="C149" s="4" t="s">
        <v>88</v>
      </c>
      <c r="D149" s="4" t="s">
        <v>89</v>
      </c>
      <c r="E149" s="4" t="s">
        <v>82</v>
      </c>
      <c r="F149" s="4" t="s">
        <v>83</v>
      </c>
      <c r="G149" s="4" t="s">
        <v>21</v>
      </c>
      <c r="H149" s="4">
        <v>2</v>
      </c>
      <c r="I149" s="4">
        <v>699.99</v>
      </c>
      <c r="J149" s="4" t="s">
        <v>36</v>
      </c>
      <c r="K149" s="4" t="s">
        <v>52</v>
      </c>
      <c r="L149" s="4" t="s">
        <v>38</v>
      </c>
      <c r="M149" s="5">
        <v>44770</v>
      </c>
      <c r="N149" s="4">
        <v>1399.98</v>
      </c>
    </row>
    <row r="150" spans="1:14" ht="15.75" customHeight="1" x14ac:dyDescent="0.3">
      <c r="A150" s="4" t="s">
        <v>291</v>
      </c>
      <c r="B150" s="5">
        <v>45617</v>
      </c>
      <c r="C150" s="4" t="s">
        <v>125</v>
      </c>
      <c r="D150" s="4" t="s">
        <v>126</v>
      </c>
      <c r="E150" s="4" t="s">
        <v>128</v>
      </c>
      <c r="F150" s="4" t="s">
        <v>129</v>
      </c>
      <c r="G150" s="4" t="s">
        <v>48</v>
      </c>
      <c r="H150" s="4">
        <v>4</v>
      </c>
      <c r="I150" s="4">
        <v>199.99</v>
      </c>
      <c r="J150" s="4" t="s">
        <v>59</v>
      </c>
      <c r="K150" s="4" t="s">
        <v>23</v>
      </c>
      <c r="L150" s="4" t="s">
        <v>29</v>
      </c>
      <c r="M150" s="5">
        <v>44427</v>
      </c>
      <c r="N150" s="4">
        <v>799.96</v>
      </c>
    </row>
    <row r="151" spans="1:14" ht="15.75" customHeight="1" x14ac:dyDescent="0.3">
      <c r="A151" s="4" t="s">
        <v>292</v>
      </c>
      <c r="B151" s="5">
        <v>45619</v>
      </c>
      <c r="C151" s="4" t="s">
        <v>194</v>
      </c>
      <c r="D151" s="4" t="s">
        <v>195</v>
      </c>
      <c r="E151" s="4" t="s">
        <v>33</v>
      </c>
      <c r="F151" s="4" t="s">
        <v>34</v>
      </c>
      <c r="G151" s="4" t="s">
        <v>35</v>
      </c>
      <c r="H151" s="4">
        <v>1</v>
      </c>
      <c r="I151" s="4">
        <v>59.99</v>
      </c>
      <c r="J151" s="4" t="s">
        <v>59</v>
      </c>
      <c r="K151" s="4" t="s">
        <v>52</v>
      </c>
      <c r="L151" s="4" t="s">
        <v>38</v>
      </c>
      <c r="M151" s="5">
        <v>44560</v>
      </c>
      <c r="N151" s="4">
        <v>59.99</v>
      </c>
    </row>
    <row r="152" spans="1:14" ht="15.75" customHeight="1" x14ac:dyDescent="0.3">
      <c r="A152" s="4" t="s">
        <v>293</v>
      </c>
      <c r="B152" s="5">
        <v>45619</v>
      </c>
      <c r="C152" s="4" t="s">
        <v>156</v>
      </c>
      <c r="D152" s="4" t="s">
        <v>157</v>
      </c>
      <c r="E152" s="4" t="s">
        <v>82</v>
      </c>
      <c r="F152" s="4" t="s">
        <v>83</v>
      </c>
      <c r="G152" s="4" t="s">
        <v>21</v>
      </c>
      <c r="H152" s="4">
        <v>3</v>
      </c>
      <c r="I152" s="4">
        <v>699.99</v>
      </c>
      <c r="J152" s="4" t="s">
        <v>36</v>
      </c>
      <c r="K152" s="4" t="s">
        <v>52</v>
      </c>
      <c r="L152" s="4" t="s">
        <v>38</v>
      </c>
      <c r="M152" s="5">
        <v>44583</v>
      </c>
      <c r="N152" s="4">
        <v>2099.9699999999998</v>
      </c>
    </row>
    <row r="153" spans="1:14" ht="15.75" customHeight="1" x14ac:dyDescent="0.3">
      <c r="A153" s="4" t="s">
        <v>294</v>
      </c>
      <c r="B153" s="5">
        <v>45622</v>
      </c>
      <c r="C153" s="4" t="s">
        <v>295</v>
      </c>
      <c r="D153" s="4" t="s">
        <v>296</v>
      </c>
      <c r="E153" s="4" t="s">
        <v>19</v>
      </c>
      <c r="F153" s="4" t="s">
        <v>20</v>
      </c>
      <c r="G153" s="4" t="s">
        <v>21</v>
      </c>
      <c r="H153" s="4">
        <v>5</v>
      </c>
      <c r="I153" s="4">
        <v>249.99</v>
      </c>
      <c r="J153" s="4" t="s">
        <v>28</v>
      </c>
      <c r="K153" s="4" t="s">
        <v>42</v>
      </c>
      <c r="L153" s="4" t="s">
        <v>24</v>
      </c>
      <c r="M153" s="5">
        <v>44873</v>
      </c>
      <c r="N153" s="4">
        <v>1249.95</v>
      </c>
    </row>
    <row r="154" spans="1:14" ht="15.75" customHeight="1" x14ac:dyDescent="0.3">
      <c r="A154" s="4" t="s">
        <v>297</v>
      </c>
      <c r="B154" s="5">
        <v>45623</v>
      </c>
      <c r="C154" s="4" t="s">
        <v>114</v>
      </c>
      <c r="D154" s="4" t="s">
        <v>115</v>
      </c>
      <c r="E154" s="4" t="s">
        <v>46</v>
      </c>
      <c r="F154" s="4" t="s">
        <v>47</v>
      </c>
      <c r="G154" s="4" t="s">
        <v>48</v>
      </c>
      <c r="H154" s="4">
        <v>2</v>
      </c>
      <c r="I154" s="4">
        <v>149.99</v>
      </c>
      <c r="J154" s="4" t="s">
        <v>22</v>
      </c>
      <c r="K154" s="4" t="s">
        <v>37</v>
      </c>
      <c r="L154" s="4" t="s">
        <v>38</v>
      </c>
      <c r="M154" s="5">
        <v>45101</v>
      </c>
      <c r="N154" s="4">
        <v>299.98</v>
      </c>
    </row>
    <row r="155" spans="1:14" ht="15.75" customHeight="1" x14ac:dyDescent="0.3">
      <c r="A155" s="4" t="s">
        <v>298</v>
      </c>
      <c r="B155" s="5">
        <v>45627</v>
      </c>
      <c r="C155" s="4" t="s">
        <v>31</v>
      </c>
      <c r="D155" s="4" t="s">
        <v>32</v>
      </c>
      <c r="E155" s="4" t="s">
        <v>107</v>
      </c>
      <c r="F155" s="4" t="s">
        <v>108</v>
      </c>
      <c r="G155" s="4" t="s">
        <v>48</v>
      </c>
      <c r="H155" s="4">
        <v>3</v>
      </c>
      <c r="I155" s="4">
        <v>299.99</v>
      </c>
      <c r="J155" s="4" t="s">
        <v>22</v>
      </c>
      <c r="K155" s="4" t="s">
        <v>37</v>
      </c>
      <c r="L155" s="4" t="s">
        <v>29</v>
      </c>
      <c r="M155" s="5">
        <v>44659</v>
      </c>
      <c r="N155" s="4">
        <v>899.97</v>
      </c>
    </row>
    <row r="156" spans="1:14" ht="15.75" customHeight="1" x14ac:dyDescent="0.3">
      <c r="A156" s="4" t="s">
        <v>299</v>
      </c>
      <c r="B156" s="5">
        <v>45627</v>
      </c>
      <c r="C156" s="4" t="s">
        <v>57</v>
      </c>
      <c r="D156" s="4" t="s">
        <v>58</v>
      </c>
      <c r="E156" s="4" t="s">
        <v>19</v>
      </c>
      <c r="F156" s="4" t="s">
        <v>20</v>
      </c>
      <c r="G156" s="4" t="s">
        <v>21</v>
      </c>
      <c r="H156" s="4">
        <v>5</v>
      </c>
      <c r="I156" s="4">
        <v>249.99</v>
      </c>
      <c r="J156" s="4" t="s">
        <v>22</v>
      </c>
      <c r="K156" s="4" t="s">
        <v>23</v>
      </c>
      <c r="L156" s="4" t="s">
        <v>29</v>
      </c>
      <c r="M156" s="5">
        <v>44485</v>
      </c>
      <c r="N156" s="4">
        <v>1249.95</v>
      </c>
    </row>
    <row r="157" spans="1:14" ht="15.75" customHeight="1" x14ac:dyDescent="0.3">
      <c r="A157" s="4" t="s">
        <v>300</v>
      </c>
      <c r="B157" s="5">
        <v>45627</v>
      </c>
      <c r="C157" s="4" t="s">
        <v>26</v>
      </c>
      <c r="D157" s="4" t="s">
        <v>27</v>
      </c>
      <c r="E157" s="4" t="s">
        <v>54</v>
      </c>
      <c r="F157" s="4" t="s">
        <v>55</v>
      </c>
      <c r="G157" s="4" t="s">
        <v>21</v>
      </c>
      <c r="H157" s="4">
        <v>2</v>
      </c>
      <c r="I157" s="4">
        <v>149.99</v>
      </c>
      <c r="J157" s="4" t="s">
        <v>22</v>
      </c>
      <c r="K157" s="4" t="s">
        <v>37</v>
      </c>
      <c r="L157" s="4" t="s">
        <v>29</v>
      </c>
      <c r="M157" s="5">
        <v>44475</v>
      </c>
      <c r="N157" s="4">
        <v>299.98</v>
      </c>
    </row>
    <row r="158" spans="1:14" ht="15.75" customHeight="1" x14ac:dyDescent="0.3">
      <c r="A158" s="4" t="s">
        <v>301</v>
      </c>
      <c r="B158" s="5">
        <v>45627</v>
      </c>
      <c r="C158" s="4" t="s">
        <v>88</v>
      </c>
      <c r="D158" s="4" t="s">
        <v>89</v>
      </c>
      <c r="E158" s="4" t="s">
        <v>82</v>
      </c>
      <c r="F158" s="4" t="s">
        <v>83</v>
      </c>
      <c r="G158" s="4" t="s">
        <v>21</v>
      </c>
      <c r="H158" s="4">
        <v>5</v>
      </c>
      <c r="I158" s="4">
        <v>699.99</v>
      </c>
      <c r="J158" s="4" t="s">
        <v>59</v>
      </c>
      <c r="K158" s="4" t="s">
        <v>52</v>
      </c>
      <c r="L158" s="4" t="s">
        <v>38</v>
      </c>
      <c r="M158" s="5">
        <v>44944</v>
      </c>
      <c r="N158" s="4">
        <v>3499.95</v>
      </c>
    </row>
    <row r="159" spans="1:14" ht="15.75" customHeight="1" x14ac:dyDescent="0.3">
      <c r="A159" s="4" t="s">
        <v>302</v>
      </c>
      <c r="B159" s="5">
        <v>45629</v>
      </c>
      <c r="C159" s="4" t="s">
        <v>254</v>
      </c>
      <c r="D159" s="4" t="s">
        <v>255</v>
      </c>
      <c r="E159" s="4" t="s">
        <v>19</v>
      </c>
      <c r="F159" s="4" t="s">
        <v>20</v>
      </c>
      <c r="G159" s="4" t="s">
        <v>21</v>
      </c>
      <c r="H159" s="4">
        <v>4</v>
      </c>
      <c r="I159" s="4">
        <v>249.99</v>
      </c>
      <c r="J159" s="4" t="s">
        <v>36</v>
      </c>
      <c r="K159" s="4" t="s">
        <v>65</v>
      </c>
      <c r="L159" s="4" t="s">
        <v>29</v>
      </c>
      <c r="M159" s="5">
        <v>45098</v>
      </c>
      <c r="N159" s="4">
        <v>999.96</v>
      </c>
    </row>
    <row r="160" spans="1:14" ht="15.75" customHeight="1" x14ac:dyDescent="0.3">
      <c r="A160" s="4" t="s">
        <v>303</v>
      </c>
      <c r="B160" s="5">
        <v>45630</v>
      </c>
      <c r="C160" s="4" t="s">
        <v>50</v>
      </c>
      <c r="D160" s="4" t="s">
        <v>51</v>
      </c>
      <c r="E160" s="4" t="s">
        <v>82</v>
      </c>
      <c r="F160" s="4" t="s">
        <v>83</v>
      </c>
      <c r="G160" s="4" t="s">
        <v>21</v>
      </c>
      <c r="H160" s="4">
        <v>4</v>
      </c>
      <c r="I160" s="4">
        <v>699.99</v>
      </c>
      <c r="J160" s="4" t="s">
        <v>28</v>
      </c>
      <c r="K160" s="4" t="s">
        <v>42</v>
      </c>
      <c r="L160" s="4" t="s">
        <v>29</v>
      </c>
      <c r="M160" s="5">
        <v>44703</v>
      </c>
      <c r="N160" s="4">
        <v>2799.96</v>
      </c>
    </row>
    <row r="161" spans="1:14" ht="15.75" customHeight="1" x14ac:dyDescent="0.3">
      <c r="A161" s="4" t="s">
        <v>304</v>
      </c>
      <c r="B161" s="5">
        <v>45635</v>
      </c>
      <c r="C161" s="4" t="s">
        <v>110</v>
      </c>
      <c r="D161" s="4" t="s">
        <v>111</v>
      </c>
      <c r="E161" s="4" t="s">
        <v>19</v>
      </c>
      <c r="F161" s="4" t="s">
        <v>20</v>
      </c>
      <c r="G161" s="4" t="s">
        <v>21</v>
      </c>
      <c r="H161" s="4">
        <v>2</v>
      </c>
      <c r="I161" s="4">
        <v>249.99</v>
      </c>
      <c r="J161" s="4" t="s">
        <v>28</v>
      </c>
      <c r="K161" s="4" t="s">
        <v>23</v>
      </c>
      <c r="L161" s="4" t="s">
        <v>29</v>
      </c>
      <c r="M161" s="5">
        <v>44396</v>
      </c>
      <c r="N161" s="4">
        <v>499.98</v>
      </c>
    </row>
    <row r="162" spans="1:14" ht="15.75" customHeight="1" x14ac:dyDescent="0.3">
      <c r="A162" s="4" t="s">
        <v>305</v>
      </c>
      <c r="B162" s="5">
        <v>45635</v>
      </c>
      <c r="C162" s="4" t="s">
        <v>306</v>
      </c>
      <c r="D162" s="4" t="s">
        <v>307</v>
      </c>
      <c r="E162" s="4" t="s">
        <v>33</v>
      </c>
      <c r="F162" s="4" t="s">
        <v>34</v>
      </c>
      <c r="G162" s="4" t="s">
        <v>35</v>
      </c>
      <c r="H162" s="4">
        <v>3</v>
      </c>
      <c r="I162" s="4">
        <v>59.99</v>
      </c>
      <c r="J162" s="4" t="s">
        <v>22</v>
      </c>
      <c r="K162" s="4" t="s">
        <v>23</v>
      </c>
      <c r="L162" s="4" t="s">
        <v>29</v>
      </c>
      <c r="M162" s="5">
        <v>45052</v>
      </c>
      <c r="N162" s="4">
        <v>179.97</v>
      </c>
    </row>
    <row r="163" spans="1:14" ht="15.75" customHeight="1" x14ac:dyDescent="0.3">
      <c r="A163" s="4" t="s">
        <v>308</v>
      </c>
      <c r="B163" s="5">
        <v>45635</v>
      </c>
      <c r="C163" s="4" t="s">
        <v>143</v>
      </c>
      <c r="D163" s="4" t="s">
        <v>144</v>
      </c>
      <c r="E163" s="4" t="s">
        <v>116</v>
      </c>
      <c r="F163" s="4" t="s">
        <v>117</v>
      </c>
      <c r="G163" s="4" t="s">
        <v>35</v>
      </c>
      <c r="H163" s="4">
        <v>4</v>
      </c>
      <c r="I163" s="4">
        <v>79.989999999999995</v>
      </c>
      <c r="J163" s="4" t="s">
        <v>59</v>
      </c>
      <c r="K163" s="4" t="s">
        <v>65</v>
      </c>
      <c r="L163" s="4" t="s">
        <v>38</v>
      </c>
      <c r="M163" s="5">
        <v>44921</v>
      </c>
      <c r="N163" s="4">
        <v>319.95999999999998</v>
      </c>
    </row>
    <row r="164" spans="1:14" ht="15.75" customHeight="1" x14ac:dyDescent="0.3">
      <c r="A164" s="4" t="s">
        <v>309</v>
      </c>
      <c r="B164" s="5">
        <v>45636</v>
      </c>
      <c r="C164" s="4" t="s">
        <v>122</v>
      </c>
      <c r="D164" s="4" t="s">
        <v>123</v>
      </c>
      <c r="E164" s="4" t="s">
        <v>116</v>
      </c>
      <c r="F164" s="4" t="s">
        <v>117</v>
      </c>
      <c r="G164" s="4" t="s">
        <v>35</v>
      </c>
      <c r="H164" s="4">
        <v>3</v>
      </c>
      <c r="I164" s="4">
        <v>79.989999999999995</v>
      </c>
      <c r="J164" s="4" t="s">
        <v>59</v>
      </c>
      <c r="K164" s="4" t="s">
        <v>65</v>
      </c>
      <c r="L164" s="4" t="s">
        <v>38</v>
      </c>
      <c r="M164" s="5">
        <v>44779</v>
      </c>
      <c r="N164" s="4">
        <v>239.97</v>
      </c>
    </row>
    <row r="165" spans="1:14" ht="15.75" customHeight="1" x14ac:dyDescent="0.3">
      <c r="A165" s="4" t="s">
        <v>310</v>
      </c>
      <c r="B165" s="5">
        <v>45638</v>
      </c>
      <c r="C165" s="4" t="s">
        <v>74</v>
      </c>
      <c r="D165" s="4" t="s">
        <v>75</v>
      </c>
      <c r="E165" s="4" t="s">
        <v>63</v>
      </c>
      <c r="F165" s="4" t="s">
        <v>64</v>
      </c>
      <c r="G165" s="4" t="s">
        <v>21</v>
      </c>
      <c r="H165" s="4">
        <v>2</v>
      </c>
      <c r="I165" s="4">
        <v>899.99</v>
      </c>
      <c r="J165" s="4" t="s">
        <v>22</v>
      </c>
      <c r="K165" s="4" t="s">
        <v>42</v>
      </c>
      <c r="L165" s="4" t="s">
        <v>24</v>
      </c>
      <c r="M165" s="5">
        <v>44406</v>
      </c>
      <c r="N165" s="4">
        <v>1799.98</v>
      </c>
    </row>
    <row r="166" spans="1:14" ht="15.75" customHeight="1" x14ac:dyDescent="0.3">
      <c r="A166" s="4" t="s">
        <v>311</v>
      </c>
      <c r="B166" s="5">
        <v>45641</v>
      </c>
      <c r="C166" s="4" t="s">
        <v>184</v>
      </c>
      <c r="D166" s="4" t="s">
        <v>185</v>
      </c>
      <c r="E166" s="4" t="s">
        <v>46</v>
      </c>
      <c r="F166" s="4" t="s">
        <v>47</v>
      </c>
      <c r="G166" s="4" t="s">
        <v>48</v>
      </c>
      <c r="H166" s="4">
        <v>1</v>
      </c>
      <c r="I166" s="4">
        <v>149.99</v>
      </c>
      <c r="J166" s="4" t="s">
        <v>59</v>
      </c>
      <c r="K166" s="4" t="s">
        <v>65</v>
      </c>
      <c r="L166" s="4" t="s">
        <v>38</v>
      </c>
      <c r="M166" s="5">
        <v>45200</v>
      </c>
      <c r="N166" s="4">
        <v>149.99</v>
      </c>
    </row>
    <row r="167" spans="1:14" ht="15.75" customHeight="1" x14ac:dyDescent="0.3">
      <c r="A167" s="4" t="s">
        <v>312</v>
      </c>
      <c r="B167" s="5">
        <v>45641</v>
      </c>
      <c r="C167" s="4" t="s">
        <v>140</v>
      </c>
      <c r="D167" s="4" t="s">
        <v>141</v>
      </c>
      <c r="E167" s="4" t="s">
        <v>107</v>
      </c>
      <c r="F167" s="4" t="s">
        <v>108</v>
      </c>
      <c r="G167" s="4" t="s">
        <v>48</v>
      </c>
      <c r="H167" s="4">
        <v>2</v>
      </c>
      <c r="I167" s="4">
        <v>299.99</v>
      </c>
      <c r="J167" s="4" t="s">
        <v>22</v>
      </c>
      <c r="K167" s="4" t="s">
        <v>65</v>
      </c>
      <c r="L167" s="4" t="s">
        <v>29</v>
      </c>
      <c r="M167" s="5">
        <v>44724</v>
      </c>
      <c r="N167" s="4">
        <v>599.98</v>
      </c>
    </row>
    <row r="168" spans="1:14" ht="15.75" customHeight="1" x14ac:dyDescent="0.3">
      <c r="A168" s="4" t="s">
        <v>313</v>
      </c>
      <c r="B168" s="5">
        <v>45644</v>
      </c>
      <c r="C168" s="4" t="s">
        <v>134</v>
      </c>
      <c r="D168" s="4" t="s">
        <v>135</v>
      </c>
      <c r="E168" s="4" t="s">
        <v>33</v>
      </c>
      <c r="F168" s="4" t="s">
        <v>34</v>
      </c>
      <c r="G168" s="4" t="s">
        <v>35</v>
      </c>
      <c r="H168" s="4">
        <v>2</v>
      </c>
      <c r="I168" s="4">
        <v>59.99</v>
      </c>
      <c r="J168" s="4" t="s">
        <v>22</v>
      </c>
      <c r="K168" s="4" t="s">
        <v>52</v>
      </c>
      <c r="L168" s="4" t="s">
        <v>24</v>
      </c>
      <c r="M168" s="5">
        <v>45191</v>
      </c>
      <c r="N168" s="4">
        <v>119.98</v>
      </c>
    </row>
    <row r="169" spans="1:14" ht="15.75" customHeight="1" x14ac:dyDescent="0.3">
      <c r="A169" s="4" t="s">
        <v>314</v>
      </c>
      <c r="B169" s="5">
        <v>45645</v>
      </c>
      <c r="C169" s="4" t="s">
        <v>184</v>
      </c>
      <c r="D169" s="4" t="s">
        <v>185</v>
      </c>
      <c r="E169" s="4" t="s">
        <v>119</v>
      </c>
      <c r="F169" s="4" t="s">
        <v>120</v>
      </c>
      <c r="G169" s="4" t="s">
        <v>21</v>
      </c>
      <c r="H169" s="4">
        <v>1</v>
      </c>
      <c r="I169" s="4">
        <v>89.99</v>
      </c>
      <c r="J169" s="4" t="s">
        <v>59</v>
      </c>
      <c r="K169" s="4" t="s">
        <v>23</v>
      </c>
      <c r="L169" s="4" t="s">
        <v>38</v>
      </c>
      <c r="M169" s="5">
        <v>44760</v>
      </c>
      <c r="N169" s="4">
        <v>89.99</v>
      </c>
    </row>
    <row r="170" spans="1:14" ht="15.75" customHeight="1" x14ac:dyDescent="0.3">
      <c r="A170" s="4" t="s">
        <v>315</v>
      </c>
      <c r="B170" s="5">
        <v>45645</v>
      </c>
      <c r="C170" s="4" t="s">
        <v>149</v>
      </c>
      <c r="D170" s="4" t="s">
        <v>150</v>
      </c>
      <c r="E170" s="4" t="s">
        <v>63</v>
      </c>
      <c r="F170" s="4" t="s">
        <v>64</v>
      </c>
      <c r="G170" s="4" t="s">
        <v>21</v>
      </c>
      <c r="H170" s="4">
        <v>5</v>
      </c>
      <c r="I170" s="4">
        <v>899.99</v>
      </c>
      <c r="J170" s="4" t="s">
        <v>59</v>
      </c>
      <c r="K170" s="4" t="s">
        <v>65</v>
      </c>
      <c r="L170" s="4" t="s">
        <v>38</v>
      </c>
      <c r="M170" s="5">
        <v>44625</v>
      </c>
      <c r="N170" s="4">
        <v>4499.95</v>
      </c>
    </row>
    <row r="171" spans="1:14" ht="15.75" customHeight="1" x14ac:dyDescent="0.3">
      <c r="A171" s="4" t="s">
        <v>316</v>
      </c>
      <c r="B171" s="5">
        <v>45646</v>
      </c>
      <c r="C171" s="4" t="s">
        <v>44</v>
      </c>
      <c r="D171" s="4" t="s">
        <v>45</v>
      </c>
      <c r="E171" s="4" t="s">
        <v>46</v>
      </c>
      <c r="F171" s="4" t="s">
        <v>47</v>
      </c>
      <c r="G171" s="4" t="s">
        <v>48</v>
      </c>
      <c r="H171" s="4">
        <v>2</v>
      </c>
      <c r="I171" s="4">
        <v>149.99</v>
      </c>
      <c r="J171" s="4" t="s">
        <v>22</v>
      </c>
      <c r="K171" s="4" t="s">
        <v>37</v>
      </c>
      <c r="L171" s="4" t="s">
        <v>24</v>
      </c>
      <c r="M171" s="5">
        <v>45239</v>
      </c>
      <c r="N171" s="4">
        <v>299.98</v>
      </c>
    </row>
    <row r="172" spans="1:14" ht="15.75" customHeight="1" x14ac:dyDescent="0.3">
      <c r="A172" s="4" t="s">
        <v>317</v>
      </c>
      <c r="B172" s="5">
        <v>45648</v>
      </c>
      <c r="C172" s="4" t="s">
        <v>114</v>
      </c>
      <c r="D172" s="4" t="s">
        <v>115</v>
      </c>
      <c r="E172" s="4" t="s">
        <v>54</v>
      </c>
      <c r="F172" s="4" t="s">
        <v>55</v>
      </c>
      <c r="G172" s="4" t="s">
        <v>21</v>
      </c>
      <c r="H172" s="4">
        <v>2</v>
      </c>
      <c r="I172" s="4">
        <v>149.99</v>
      </c>
      <c r="J172" s="4" t="s">
        <v>59</v>
      </c>
      <c r="K172" s="4" t="s">
        <v>52</v>
      </c>
      <c r="L172" s="4" t="s">
        <v>29</v>
      </c>
      <c r="M172" s="5">
        <v>45280</v>
      </c>
      <c r="N172" s="4">
        <v>299.98</v>
      </c>
    </row>
    <row r="173" spans="1:14" ht="15.75" customHeight="1" x14ac:dyDescent="0.3">
      <c r="A173" s="4" t="s">
        <v>318</v>
      </c>
      <c r="B173" s="5">
        <v>45648</v>
      </c>
      <c r="C173" s="4" t="s">
        <v>184</v>
      </c>
      <c r="D173" s="4" t="s">
        <v>185</v>
      </c>
      <c r="E173" s="4" t="s">
        <v>46</v>
      </c>
      <c r="F173" s="4" t="s">
        <v>47</v>
      </c>
      <c r="G173" s="4" t="s">
        <v>48</v>
      </c>
      <c r="H173" s="4">
        <v>3</v>
      </c>
      <c r="I173" s="4">
        <v>149.99</v>
      </c>
      <c r="J173" s="4" t="s">
        <v>59</v>
      </c>
      <c r="K173" s="4" t="s">
        <v>42</v>
      </c>
      <c r="L173" s="4" t="s">
        <v>38</v>
      </c>
      <c r="M173" s="5">
        <v>44522</v>
      </c>
      <c r="N173" s="4">
        <v>449.97</v>
      </c>
    </row>
    <row r="174" spans="1:14" ht="15.75" customHeight="1" x14ac:dyDescent="0.3">
      <c r="A174" s="4" t="s">
        <v>319</v>
      </c>
      <c r="B174" s="5">
        <v>45649</v>
      </c>
      <c r="C174" s="4" t="s">
        <v>31</v>
      </c>
      <c r="D174" s="4" t="s">
        <v>32</v>
      </c>
      <c r="E174" s="4" t="s">
        <v>107</v>
      </c>
      <c r="F174" s="4" t="s">
        <v>108</v>
      </c>
      <c r="G174" s="4" t="s">
        <v>48</v>
      </c>
      <c r="H174" s="4">
        <v>2</v>
      </c>
      <c r="I174" s="4">
        <v>299.99</v>
      </c>
      <c r="J174" s="4" t="s">
        <v>36</v>
      </c>
      <c r="K174" s="4" t="s">
        <v>37</v>
      </c>
      <c r="L174" s="4" t="s">
        <v>24</v>
      </c>
      <c r="M174" s="5">
        <v>44721</v>
      </c>
      <c r="N174" s="4">
        <v>599.98</v>
      </c>
    </row>
    <row r="175" spans="1:14" ht="15.75" customHeight="1" x14ac:dyDescent="0.3">
      <c r="A175" s="4" t="s">
        <v>320</v>
      </c>
      <c r="B175" s="5">
        <v>45654</v>
      </c>
      <c r="C175" s="4" t="s">
        <v>44</v>
      </c>
      <c r="D175" s="4" t="s">
        <v>45</v>
      </c>
      <c r="E175" s="4" t="s">
        <v>107</v>
      </c>
      <c r="F175" s="4" t="s">
        <v>108</v>
      </c>
      <c r="G175" s="4" t="s">
        <v>48</v>
      </c>
      <c r="H175" s="4">
        <v>2</v>
      </c>
      <c r="I175" s="4">
        <v>299.99</v>
      </c>
      <c r="J175" s="4" t="s">
        <v>22</v>
      </c>
      <c r="K175" s="4" t="s">
        <v>52</v>
      </c>
      <c r="L175" s="4" t="s">
        <v>24</v>
      </c>
      <c r="M175" s="5">
        <v>44771</v>
      </c>
      <c r="N175" s="4">
        <v>599.98</v>
      </c>
    </row>
    <row r="176" spans="1:14" ht="15.75" customHeight="1" x14ac:dyDescent="0.3">
      <c r="A176" s="4" t="s">
        <v>321</v>
      </c>
      <c r="B176" s="5">
        <v>45654</v>
      </c>
      <c r="C176" s="4" t="s">
        <v>122</v>
      </c>
      <c r="D176" s="4" t="s">
        <v>123</v>
      </c>
      <c r="E176" s="4" t="s">
        <v>128</v>
      </c>
      <c r="F176" s="4" t="s">
        <v>129</v>
      </c>
      <c r="G176" s="4" t="s">
        <v>48</v>
      </c>
      <c r="H176" s="4">
        <v>4</v>
      </c>
      <c r="I176" s="4">
        <v>199.99</v>
      </c>
      <c r="J176" s="4" t="s">
        <v>28</v>
      </c>
      <c r="K176" s="4" t="s">
        <v>23</v>
      </c>
      <c r="L176" s="4" t="s">
        <v>24</v>
      </c>
      <c r="M176" s="5">
        <v>44523</v>
      </c>
      <c r="N176" s="4">
        <v>799.96</v>
      </c>
    </row>
    <row r="177" spans="1:14" ht="15.75" customHeight="1" x14ac:dyDescent="0.3">
      <c r="A177" s="4" t="s">
        <v>322</v>
      </c>
      <c r="B177" s="5">
        <v>45655</v>
      </c>
      <c r="C177" s="4" t="s">
        <v>61</v>
      </c>
      <c r="D177" s="4" t="s">
        <v>62</v>
      </c>
      <c r="E177" s="4" t="s">
        <v>119</v>
      </c>
      <c r="F177" s="4" t="s">
        <v>120</v>
      </c>
      <c r="G177" s="4" t="s">
        <v>21</v>
      </c>
      <c r="H177" s="4">
        <v>1</v>
      </c>
      <c r="I177" s="4">
        <v>89.99</v>
      </c>
      <c r="J177" s="4" t="s">
        <v>28</v>
      </c>
      <c r="K177" s="4" t="s">
        <v>37</v>
      </c>
      <c r="L177" s="4" t="s">
        <v>29</v>
      </c>
      <c r="M177" s="5">
        <v>44591</v>
      </c>
      <c r="N177" s="4">
        <v>89.99</v>
      </c>
    </row>
    <row r="178" spans="1:14" ht="15.75" customHeight="1" x14ac:dyDescent="0.3">
      <c r="A178" s="4" t="s">
        <v>323</v>
      </c>
      <c r="B178" s="5">
        <v>45655</v>
      </c>
      <c r="C178" s="4" t="s">
        <v>110</v>
      </c>
      <c r="D178" s="4" t="s">
        <v>111</v>
      </c>
      <c r="E178" s="4" t="s">
        <v>46</v>
      </c>
      <c r="F178" s="4" t="s">
        <v>47</v>
      </c>
      <c r="G178" s="4" t="s">
        <v>48</v>
      </c>
      <c r="H178" s="4">
        <v>5</v>
      </c>
      <c r="I178" s="4">
        <v>149.99</v>
      </c>
      <c r="J178" s="4" t="s">
        <v>22</v>
      </c>
      <c r="K178" s="4" t="s">
        <v>23</v>
      </c>
      <c r="L178" s="4" t="s">
        <v>29</v>
      </c>
      <c r="M178" s="5">
        <v>45347</v>
      </c>
      <c r="N178" s="4">
        <v>749.95</v>
      </c>
    </row>
    <row r="179" spans="1:14" ht="15.75" customHeight="1" x14ac:dyDescent="0.3">
      <c r="A179" s="4" t="s">
        <v>324</v>
      </c>
      <c r="B179" s="5">
        <v>45657</v>
      </c>
      <c r="C179" s="4" t="s">
        <v>88</v>
      </c>
      <c r="D179" s="4" t="s">
        <v>89</v>
      </c>
      <c r="E179" s="4" t="s">
        <v>63</v>
      </c>
      <c r="F179" s="4" t="s">
        <v>64</v>
      </c>
      <c r="G179" s="4" t="s">
        <v>21</v>
      </c>
      <c r="H179" s="4">
        <v>1</v>
      </c>
      <c r="I179" s="4">
        <v>899.99</v>
      </c>
      <c r="J179" s="4" t="s">
        <v>36</v>
      </c>
      <c r="K179" s="4" t="s">
        <v>42</v>
      </c>
      <c r="L179" s="4" t="s">
        <v>29</v>
      </c>
      <c r="M179" s="5">
        <v>45050</v>
      </c>
      <c r="N179" s="4">
        <v>899.99</v>
      </c>
    </row>
    <row r="180" spans="1:14" ht="15.75" customHeight="1" x14ac:dyDescent="0.3">
      <c r="A180" s="4" t="s">
        <v>325</v>
      </c>
      <c r="B180" s="5">
        <v>45660</v>
      </c>
      <c r="C180" s="4" t="s">
        <v>149</v>
      </c>
      <c r="D180" s="4" t="s">
        <v>150</v>
      </c>
      <c r="E180" s="4" t="s">
        <v>119</v>
      </c>
      <c r="F180" s="4" t="s">
        <v>120</v>
      </c>
      <c r="G180" s="4" t="s">
        <v>21</v>
      </c>
      <c r="H180" s="4">
        <v>2</v>
      </c>
      <c r="I180" s="4">
        <v>89.99</v>
      </c>
      <c r="J180" s="4" t="s">
        <v>28</v>
      </c>
      <c r="K180" s="4" t="s">
        <v>37</v>
      </c>
      <c r="L180" s="4" t="s">
        <v>29</v>
      </c>
      <c r="M180" s="5">
        <v>44564</v>
      </c>
      <c r="N180" s="4">
        <v>179.98</v>
      </c>
    </row>
    <row r="181" spans="1:14" ht="15.75" customHeight="1" x14ac:dyDescent="0.3">
      <c r="A181" s="4" t="s">
        <v>326</v>
      </c>
      <c r="B181" s="5">
        <v>45661</v>
      </c>
      <c r="C181" s="4" t="s">
        <v>327</v>
      </c>
      <c r="D181" s="4" t="s">
        <v>328</v>
      </c>
      <c r="E181" s="4" t="s">
        <v>63</v>
      </c>
      <c r="F181" s="4" t="s">
        <v>64</v>
      </c>
      <c r="G181" s="4" t="s">
        <v>21</v>
      </c>
      <c r="H181" s="4">
        <v>1</v>
      </c>
      <c r="I181" s="4">
        <v>899.99</v>
      </c>
      <c r="J181" s="4" t="s">
        <v>36</v>
      </c>
      <c r="K181" s="4" t="s">
        <v>42</v>
      </c>
      <c r="L181" s="4" t="s">
        <v>38</v>
      </c>
      <c r="M181" s="5">
        <v>44752</v>
      </c>
      <c r="N181" s="4">
        <v>899.99</v>
      </c>
    </row>
    <row r="182" spans="1:14" ht="15.75" customHeight="1" x14ac:dyDescent="0.3">
      <c r="A182" s="4" t="s">
        <v>329</v>
      </c>
      <c r="B182" s="5">
        <v>45663</v>
      </c>
      <c r="C182" s="4" t="s">
        <v>131</v>
      </c>
      <c r="D182" s="4" t="s">
        <v>132</v>
      </c>
      <c r="E182" s="4" t="s">
        <v>54</v>
      </c>
      <c r="F182" s="4" t="s">
        <v>55</v>
      </c>
      <c r="G182" s="4" t="s">
        <v>21</v>
      </c>
      <c r="H182" s="4">
        <v>5</v>
      </c>
      <c r="I182" s="4">
        <v>149.99</v>
      </c>
      <c r="J182" s="4" t="s">
        <v>36</v>
      </c>
      <c r="K182" s="4" t="s">
        <v>65</v>
      </c>
      <c r="L182" s="4" t="s">
        <v>29</v>
      </c>
      <c r="M182" s="5">
        <v>44824</v>
      </c>
      <c r="N182" s="4">
        <v>749.95</v>
      </c>
    </row>
    <row r="183" spans="1:14" ht="15.75" customHeight="1" x14ac:dyDescent="0.3">
      <c r="A183" s="4" t="s">
        <v>330</v>
      </c>
      <c r="B183" s="5">
        <v>45663</v>
      </c>
      <c r="C183" s="4" t="s">
        <v>44</v>
      </c>
      <c r="D183" s="4" t="s">
        <v>45</v>
      </c>
      <c r="E183" s="4" t="s">
        <v>107</v>
      </c>
      <c r="F183" s="4" t="s">
        <v>108</v>
      </c>
      <c r="G183" s="4" t="s">
        <v>48</v>
      </c>
      <c r="H183" s="4">
        <v>3</v>
      </c>
      <c r="I183" s="4">
        <v>299.99</v>
      </c>
      <c r="J183" s="4" t="s">
        <v>22</v>
      </c>
      <c r="K183" s="4" t="s">
        <v>37</v>
      </c>
      <c r="L183" s="4" t="s">
        <v>38</v>
      </c>
      <c r="M183" s="5">
        <v>44422</v>
      </c>
      <c r="N183" s="4">
        <v>899.97</v>
      </c>
    </row>
    <row r="184" spans="1:14" ht="15.75" customHeight="1" x14ac:dyDescent="0.3">
      <c r="A184" s="4" t="s">
        <v>331</v>
      </c>
      <c r="B184" s="5">
        <v>45666</v>
      </c>
      <c r="C184" s="4" t="s">
        <v>67</v>
      </c>
      <c r="D184" s="4" t="s">
        <v>68</v>
      </c>
      <c r="E184" s="4" t="s">
        <v>82</v>
      </c>
      <c r="F184" s="4" t="s">
        <v>83</v>
      </c>
      <c r="G184" s="4" t="s">
        <v>21</v>
      </c>
      <c r="H184" s="4">
        <v>3</v>
      </c>
      <c r="I184" s="4">
        <v>699.99</v>
      </c>
      <c r="J184" s="4" t="s">
        <v>28</v>
      </c>
      <c r="K184" s="4" t="s">
        <v>23</v>
      </c>
      <c r="L184" s="4" t="s">
        <v>29</v>
      </c>
      <c r="M184" s="5">
        <v>45105</v>
      </c>
      <c r="N184" s="4">
        <v>2099.9699999999998</v>
      </c>
    </row>
    <row r="185" spans="1:14" ht="15.75" customHeight="1" x14ac:dyDescent="0.3">
      <c r="A185" s="4" t="s">
        <v>332</v>
      </c>
      <c r="B185" s="5">
        <v>45667</v>
      </c>
      <c r="C185" s="4" t="s">
        <v>110</v>
      </c>
      <c r="D185" s="4" t="s">
        <v>111</v>
      </c>
      <c r="E185" s="4" t="s">
        <v>128</v>
      </c>
      <c r="F185" s="4" t="s">
        <v>129</v>
      </c>
      <c r="G185" s="4" t="s">
        <v>48</v>
      </c>
      <c r="H185" s="4">
        <v>5</v>
      </c>
      <c r="I185" s="4">
        <v>199.99</v>
      </c>
      <c r="J185" s="4" t="s">
        <v>36</v>
      </c>
      <c r="K185" s="4" t="s">
        <v>23</v>
      </c>
      <c r="L185" s="4" t="s">
        <v>38</v>
      </c>
      <c r="M185" s="5">
        <v>44633</v>
      </c>
      <c r="N185" s="4">
        <v>999.95</v>
      </c>
    </row>
    <row r="186" spans="1:14" ht="15.75" customHeight="1" x14ac:dyDescent="0.3">
      <c r="A186" s="4" t="s">
        <v>333</v>
      </c>
      <c r="B186" s="5">
        <v>45667</v>
      </c>
      <c r="C186" s="4" t="s">
        <v>95</v>
      </c>
      <c r="D186" s="4" t="s">
        <v>96</v>
      </c>
      <c r="E186" s="4" t="s">
        <v>19</v>
      </c>
      <c r="F186" s="4" t="s">
        <v>20</v>
      </c>
      <c r="G186" s="4" t="s">
        <v>21</v>
      </c>
      <c r="H186" s="4">
        <v>5</v>
      </c>
      <c r="I186" s="4">
        <v>249.99</v>
      </c>
      <c r="J186" s="4" t="s">
        <v>28</v>
      </c>
      <c r="K186" s="4" t="s">
        <v>37</v>
      </c>
      <c r="L186" s="4" t="s">
        <v>24</v>
      </c>
      <c r="M186" s="5">
        <v>45330</v>
      </c>
      <c r="N186" s="4">
        <v>1249.95</v>
      </c>
    </row>
    <row r="187" spans="1:14" ht="15.75" customHeight="1" x14ac:dyDescent="0.3">
      <c r="A187" s="4" t="s">
        <v>334</v>
      </c>
      <c r="B187" s="5">
        <v>45668</v>
      </c>
      <c r="C187" s="4" t="s">
        <v>140</v>
      </c>
      <c r="D187" s="4" t="s">
        <v>141</v>
      </c>
      <c r="E187" s="4" t="s">
        <v>54</v>
      </c>
      <c r="F187" s="4" t="s">
        <v>55</v>
      </c>
      <c r="G187" s="4" t="s">
        <v>21</v>
      </c>
      <c r="H187" s="4">
        <v>4</v>
      </c>
      <c r="I187" s="4">
        <v>149.99</v>
      </c>
      <c r="J187" s="4" t="s">
        <v>59</v>
      </c>
      <c r="K187" s="4" t="s">
        <v>65</v>
      </c>
      <c r="L187" s="4" t="s">
        <v>38</v>
      </c>
      <c r="M187" s="5">
        <v>44536</v>
      </c>
      <c r="N187" s="4">
        <v>599.96</v>
      </c>
    </row>
    <row r="188" spans="1:14" ht="15.75" customHeight="1" x14ac:dyDescent="0.3">
      <c r="A188" s="4" t="s">
        <v>335</v>
      </c>
      <c r="B188" s="5">
        <v>45668</v>
      </c>
      <c r="C188" s="4" t="s">
        <v>80</v>
      </c>
      <c r="D188" s="4" t="s">
        <v>81</v>
      </c>
      <c r="E188" s="4" t="s">
        <v>82</v>
      </c>
      <c r="F188" s="4" t="s">
        <v>83</v>
      </c>
      <c r="G188" s="4" t="s">
        <v>21</v>
      </c>
      <c r="H188" s="4">
        <v>3</v>
      </c>
      <c r="I188" s="4">
        <v>699.99</v>
      </c>
      <c r="J188" s="4" t="s">
        <v>22</v>
      </c>
      <c r="K188" s="4" t="s">
        <v>42</v>
      </c>
      <c r="L188" s="4" t="s">
        <v>29</v>
      </c>
      <c r="M188" s="5">
        <v>44602</v>
      </c>
      <c r="N188" s="4">
        <v>2099.9699999999998</v>
      </c>
    </row>
    <row r="189" spans="1:14" ht="15.75" customHeight="1" x14ac:dyDescent="0.3">
      <c r="A189" s="4" t="s">
        <v>336</v>
      </c>
      <c r="B189" s="5">
        <v>45670</v>
      </c>
      <c r="C189" s="4" t="s">
        <v>295</v>
      </c>
      <c r="D189" s="4" t="s">
        <v>296</v>
      </c>
      <c r="E189" s="4" t="s">
        <v>116</v>
      </c>
      <c r="F189" s="4" t="s">
        <v>117</v>
      </c>
      <c r="G189" s="4" t="s">
        <v>35</v>
      </c>
      <c r="H189" s="4">
        <v>1</v>
      </c>
      <c r="I189" s="4">
        <v>79.989999999999995</v>
      </c>
      <c r="J189" s="4" t="s">
        <v>28</v>
      </c>
      <c r="K189" s="4" t="s">
        <v>37</v>
      </c>
      <c r="L189" s="4" t="s">
        <v>24</v>
      </c>
      <c r="M189" s="5">
        <v>45322</v>
      </c>
      <c r="N189" s="4">
        <v>79.989999999999995</v>
      </c>
    </row>
    <row r="190" spans="1:14" ht="15.75" customHeight="1" x14ac:dyDescent="0.3">
      <c r="A190" s="4" t="s">
        <v>337</v>
      </c>
      <c r="B190" s="5">
        <v>45670</v>
      </c>
      <c r="C190" s="4" t="s">
        <v>88</v>
      </c>
      <c r="D190" s="4" t="s">
        <v>89</v>
      </c>
      <c r="E190" s="4" t="s">
        <v>107</v>
      </c>
      <c r="F190" s="4" t="s">
        <v>108</v>
      </c>
      <c r="G190" s="4" t="s">
        <v>48</v>
      </c>
      <c r="H190" s="4">
        <v>1</v>
      </c>
      <c r="I190" s="4">
        <v>299.99</v>
      </c>
      <c r="J190" s="4" t="s">
        <v>28</v>
      </c>
      <c r="K190" s="4" t="s">
        <v>42</v>
      </c>
      <c r="L190" s="4" t="s">
        <v>24</v>
      </c>
      <c r="M190" s="5">
        <v>44436</v>
      </c>
      <c r="N190" s="4">
        <v>299.99</v>
      </c>
    </row>
    <row r="191" spans="1:14" ht="15.75" customHeight="1" x14ac:dyDescent="0.3">
      <c r="A191" s="4" t="s">
        <v>338</v>
      </c>
      <c r="B191" s="5">
        <v>45671</v>
      </c>
      <c r="C191" s="4" t="s">
        <v>160</v>
      </c>
      <c r="D191" s="4" t="s">
        <v>161</v>
      </c>
      <c r="E191" s="4" t="s">
        <v>19</v>
      </c>
      <c r="F191" s="4" t="s">
        <v>20</v>
      </c>
      <c r="G191" s="4" t="s">
        <v>21</v>
      </c>
      <c r="H191" s="4">
        <v>4</v>
      </c>
      <c r="I191" s="4">
        <v>249.99</v>
      </c>
      <c r="J191" s="4" t="s">
        <v>28</v>
      </c>
      <c r="K191" s="4" t="s">
        <v>42</v>
      </c>
      <c r="L191" s="4" t="s">
        <v>29</v>
      </c>
      <c r="M191" s="5">
        <v>44460</v>
      </c>
      <c r="N191" s="4">
        <v>999.96</v>
      </c>
    </row>
    <row r="192" spans="1:14" ht="15.75" customHeight="1" x14ac:dyDescent="0.3">
      <c r="A192" s="4" t="s">
        <v>339</v>
      </c>
      <c r="B192" s="5">
        <v>45671</v>
      </c>
      <c r="C192" s="4" t="s">
        <v>122</v>
      </c>
      <c r="D192" s="4" t="s">
        <v>123</v>
      </c>
      <c r="E192" s="4" t="s">
        <v>54</v>
      </c>
      <c r="F192" s="4" t="s">
        <v>55</v>
      </c>
      <c r="G192" s="4" t="s">
        <v>21</v>
      </c>
      <c r="H192" s="4">
        <v>2</v>
      </c>
      <c r="I192" s="4">
        <v>149.99</v>
      </c>
      <c r="J192" s="4" t="s">
        <v>22</v>
      </c>
      <c r="K192" s="4" t="s">
        <v>42</v>
      </c>
      <c r="L192" s="4" t="s">
        <v>38</v>
      </c>
      <c r="M192" s="5">
        <v>44913</v>
      </c>
      <c r="N192" s="4">
        <v>299.98</v>
      </c>
    </row>
    <row r="193" spans="1:14" ht="15.75" customHeight="1" x14ac:dyDescent="0.3">
      <c r="A193" s="4" t="s">
        <v>340</v>
      </c>
      <c r="B193" s="5">
        <v>45671</v>
      </c>
      <c r="C193" s="4" t="s">
        <v>236</v>
      </c>
      <c r="D193" s="4" t="s">
        <v>237</v>
      </c>
      <c r="E193" s="4" t="s">
        <v>107</v>
      </c>
      <c r="F193" s="4" t="s">
        <v>108</v>
      </c>
      <c r="G193" s="4" t="s">
        <v>48</v>
      </c>
      <c r="H193" s="4">
        <v>3</v>
      </c>
      <c r="I193" s="4">
        <v>299.99</v>
      </c>
      <c r="J193" s="4" t="s">
        <v>28</v>
      </c>
      <c r="K193" s="4" t="s">
        <v>37</v>
      </c>
      <c r="L193" s="4" t="s">
        <v>24</v>
      </c>
      <c r="M193" s="5">
        <v>45204</v>
      </c>
      <c r="N193" s="4">
        <v>899.97</v>
      </c>
    </row>
    <row r="194" spans="1:14" ht="15.75" customHeight="1" x14ac:dyDescent="0.3">
      <c r="A194" s="4" t="s">
        <v>341</v>
      </c>
      <c r="B194" s="5">
        <v>45673</v>
      </c>
      <c r="C194" s="4" t="s">
        <v>228</v>
      </c>
      <c r="D194" s="4" t="s">
        <v>229</v>
      </c>
      <c r="E194" s="4" t="s">
        <v>128</v>
      </c>
      <c r="F194" s="4" t="s">
        <v>129</v>
      </c>
      <c r="G194" s="4" t="s">
        <v>48</v>
      </c>
      <c r="H194" s="4">
        <v>4</v>
      </c>
      <c r="I194" s="4">
        <v>199.99</v>
      </c>
      <c r="J194" s="4" t="s">
        <v>59</v>
      </c>
      <c r="K194" s="4" t="s">
        <v>37</v>
      </c>
      <c r="L194" s="4" t="s">
        <v>38</v>
      </c>
      <c r="M194" s="5">
        <v>44544</v>
      </c>
      <c r="N194" s="4">
        <v>799.96</v>
      </c>
    </row>
    <row r="195" spans="1:14" ht="15.75" customHeight="1" x14ac:dyDescent="0.3">
      <c r="A195" s="4" t="s">
        <v>342</v>
      </c>
      <c r="B195" s="5">
        <v>45673</v>
      </c>
      <c r="C195" s="4" t="s">
        <v>213</v>
      </c>
      <c r="D195" s="4" t="s">
        <v>214</v>
      </c>
      <c r="E195" s="4" t="s">
        <v>107</v>
      </c>
      <c r="F195" s="4" t="s">
        <v>108</v>
      </c>
      <c r="G195" s="4" t="s">
        <v>48</v>
      </c>
      <c r="H195" s="4">
        <v>5</v>
      </c>
      <c r="I195" s="4">
        <v>299.99</v>
      </c>
      <c r="J195" s="4" t="s">
        <v>59</v>
      </c>
      <c r="K195" s="4" t="s">
        <v>23</v>
      </c>
      <c r="L195" s="4" t="s">
        <v>24</v>
      </c>
      <c r="M195" s="5">
        <v>44431</v>
      </c>
      <c r="N195" s="4">
        <v>1499.95</v>
      </c>
    </row>
    <row r="196" spans="1:14" ht="15.75" customHeight="1" x14ac:dyDescent="0.3">
      <c r="A196" s="4" t="s">
        <v>343</v>
      </c>
      <c r="B196" s="5">
        <v>45673</v>
      </c>
      <c r="C196" s="4" t="s">
        <v>61</v>
      </c>
      <c r="D196" s="4" t="s">
        <v>62</v>
      </c>
      <c r="E196" s="4" t="s">
        <v>46</v>
      </c>
      <c r="F196" s="4" t="s">
        <v>47</v>
      </c>
      <c r="G196" s="4" t="s">
        <v>48</v>
      </c>
      <c r="H196" s="4">
        <v>3</v>
      </c>
      <c r="I196" s="4">
        <v>149.99</v>
      </c>
      <c r="J196" s="4" t="s">
        <v>28</v>
      </c>
      <c r="K196" s="4" t="s">
        <v>65</v>
      </c>
      <c r="L196" s="4" t="s">
        <v>38</v>
      </c>
      <c r="M196" s="5">
        <v>44395</v>
      </c>
      <c r="N196" s="4">
        <v>449.97</v>
      </c>
    </row>
    <row r="197" spans="1:14" ht="15.75" customHeight="1" x14ac:dyDescent="0.3">
      <c r="A197" s="4" t="s">
        <v>344</v>
      </c>
      <c r="B197" s="5">
        <v>45676</v>
      </c>
      <c r="C197" s="4" t="s">
        <v>131</v>
      </c>
      <c r="D197" s="4" t="s">
        <v>132</v>
      </c>
      <c r="E197" s="4" t="s">
        <v>33</v>
      </c>
      <c r="F197" s="4" t="s">
        <v>34</v>
      </c>
      <c r="G197" s="4" t="s">
        <v>35</v>
      </c>
      <c r="H197" s="4">
        <v>5</v>
      </c>
      <c r="I197" s="4">
        <v>59.99</v>
      </c>
      <c r="J197" s="4" t="s">
        <v>59</v>
      </c>
      <c r="K197" s="4" t="s">
        <v>65</v>
      </c>
      <c r="L197" s="4" t="s">
        <v>24</v>
      </c>
      <c r="M197" s="5">
        <v>44642</v>
      </c>
      <c r="N197" s="4">
        <v>299.95</v>
      </c>
    </row>
    <row r="198" spans="1:14" ht="15.75" customHeight="1" x14ac:dyDescent="0.3">
      <c r="A198" s="4" t="s">
        <v>345</v>
      </c>
      <c r="B198" s="5">
        <v>45682</v>
      </c>
      <c r="C198" s="4" t="s">
        <v>70</v>
      </c>
      <c r="D198" s="4" t="s">
        <v>71</v>
      </c>
      <c r="E198" s="4" t="s">
        <v>33</v>
      </c>
      <c r="F198" s="4" t="s">
        <v>34</v>
      </c>
      <c r="G198" s="4" t="s">
        <v>35</v>
      </c>
      <c r="H198" s="4">
        <v>4</v>
      </c>
      <c r="I198" s="4">
        <v>59.99</v>
      </c>
      <c r="J198" s="4" t="s">
        <v>59</v>
      </c>
      <c r="K198" s="4" t="s">
        <v>65</v>
      </c>
      <c r="L198" s="4" t="s">
        <v>38</v>
      </c>
      <c r="M198" s="5">
        <v>44564</v>
      </c>
      <c r="N198" s="4">
        <v>239.96</v>
      </c>
    </row>
    <row r="199" spans="1:14" ht="15.75" customHeight="1" x14ac:dyDescent="0.3">
      <c r="A199" s="4" t="s">
        <v>346</v>
      </c>
      <c r="B199" s="5">
        <v>45683</v>
      </c>
      <c r="C199" s="4" t="s">
        <v>50</v>
      </c>
      <c r="D199" s="4" t="s">
        <v>51</v>
      </c>
      <c r="E199" s="4" t="s">
        <v>19</v>
      </c>
      <c r="F199" s="4" t="s">
        <v>20</v>
      </c>
      <c r="G199" s="4" t="s">
        <v>21</v>
      </c>
      <c r="H199" s="4">
        <v>4</v>
      </c>
      <c r="I199" s="4">
        <v>249.99</v>
      </c>
      <c r="J199" s="4" t="s">
        <v>59</v>
      </c>
      <c r="K199" s="4" t="s">
        <v>23</v>
      </c>
      <c r="L199" s="4" t="s">
        <v>29</v>
      </c>
      <c r="M199" s="5">
        <v>45217</v>
      </c>
      <c r="N199" s="4">
        <v>999.96</v>
      </c>
    </row>
    <row r="200" spans="1:14" ht="15.75" customHeight="1" x14ac:dyDescent="0.3">
      <c r="A200" s="4" t="s">
        <v>347</v>
      </c>
      <c r="B200" s="5">
        <v>45686</v>
      </c>
      <c r="C200" s="4" t="s">
        <v>254</v>
      </c>
      <c r="D200" s="4" t="s">
        <v>255</v>
      </c>
      <c r="E200" s="4" t="s">
        <v>63</v>
      </c>
      <c r="F200" s="4" t="s">
        <v>64</v>
      </c>
      <c r="G200" s="4" t="s">
        <v>21</v>
      </c>
      <c r="H200" s="4">
        <v>4</v>
      </c>
      <c r="I200" s="4">
        <v>899.99</v>
      </c>
      <c r="J200" s="4" t="s">
        <v>36</v>
      </c>
      <c r="K200" s="4" t="s">
        <v>23</v>
      </c>
      <c r="L200" s="4" t="s">
        <v>24</v>
      </c>
      <c r="M200" s="5">
        <v>44734</v>
      </c>
      <c r="N200" s="4">
        <v>3599.96</v>
      </c>
    </row>
    <row r="201" spans="1:14" ht="15.75" customHeight="1" x14ac:dyDescent="0.3">
      <c r="A201" s="4" t="s">
        <v>348</v>
      </c>
      <c r="B201" s="5">
        <v>45686</v>
      </c>
      <c r="C201" s="4" t="s">
        <v>88</v>
      </c>
      <c r="D201" s="4" t="s">
        <v>89</v>
      </c>
      <c r="E201" s="4" t="s">
        <v>107</v>
      </c>
      <c r="F201" s="4" t="s">
        <v>108</v>
      </c>
      <c r="G201" s="4" t="s">
        <v>48</v>
      </c>
      <c r="H201" s="4">
        <v>3</v>
      </c>
      <c r="I201" s="4">
        <v>299.99</v>
      </c>
      <c r="J201" s="4" t="s">
        <v>59</v>
      </c>
      <c r="K201" s="4" t="s">
        <v>52</v>
      </c>
      <c r="L201" s="4" t="s">
        <v>38</v>
      </c>
      <c r="M201" s="5">
        <v>44952</v>
      </c>
      <c r="N201" s="4">
        <v>899.97</v>
      </c>
    </row>
    <row r="202" spans="1:14" ht="15.75" customHeight="1" x14ac:dyDescent="0.3">
      <c r="A202" s="4" t="s">
        <v>349</v>
      </c>
      <c r="B202" s="5">
        <v>45686</v>
      </c>
      <c r="C202" s="4" t="s">
        <v>295</v>
      </c>
      <c r="D202" s="4" t="s">
        <v>296</v>
      </c>
      <c r="E202" s="4" t="s">
        <v>82</v>
      </c>
      <c r="F202" s="4" t="s">
        <v>83</v>
      </c>
      <c r="G202" s="4" t="s">
        <v>21</v>
      </c>
      <c r="H202" s="4">
        <v>2</v>
      </c>
      <c r="I202" s="4">
        <v>699.99</v>
      </c>
      <c r="J202" s="4" t="s">
        <v>59</v>
      </c>
      <c r="K202" s="4" t="s">
        <v>23</v>
      </c>
      <c r="L202" s="4" t="s">
        <v>29</v>
      </c>
      <c r="M202" s="5">
        <v>44681</v>
      </c>
      <c r="N202" s="4">
        <v>1399.98</v>
      </c>
    </row>
    <row r="203" spans="1:14" ht="15.75" customHeight="1" x14ac:dyDescent="0.3">
      <c r="A203" s="4" t="s">
        <v>350</v>
      </c>
      <c r="B203" s="5">
        <v>45688</v>
      </c>
      <c r="C203" s="4" t="s">
        <v>67</v>
      </c>
      <c r="D203" s="4" t="s">
        <v>68</v>
      </c>
      <c r="E203" s="4" t="s">
        <v>82</v>
      </c>
      <c r="F203" s="4" t="s">
        <v>83</v>
      </c>
      <c r="G203" s="4" t="s">
        <v>21</v>
      </c>
      <c r="H203" s="4">
        <v>4</v>
      </c>
      <c r="I203" s="4">
        <v>699.99</v>
      </c>
      <c r="J203" s="4" t="s">
        <v>59</v>
      </c>
      <c r="K203" s="4" t="s">
        <v>52</v>
      </c>
      <c r="L203" s="4" t="s">
        <v>29</v>
      </c>
      <c r="M203" s="5">
        <v>44692</v>
      </c>
      <c r="N203" s="4">
        <v>2799.96</v>
      </c>
    </row>
    <row r="204" spans="1:14" ht="15.75" customHeight="1" x14ac:dyDescent="0.3">
      <c r="A204" s="4" t="s">
        <v>351</v>
      </c>
      <c r="B204" s="5">
        <v>45688</v>
      </c>
      <c r="C204" s="4" t="s">
        <v>125</v>
      </c>
      <c r="D204" s="4" t="s">
        <v>126</v>
      </c>
      <c r="E204" s="4" t="s">
        <v>119</v>
      </c>
      <c r="F204" s="4" t="s">
        <v>120</v>
      </c>
      <c r="G204" s="4" t="s">
        <v>21</v>
      </c>
      <c r="H204" s="4">
        <v>2</v>
      </c>
      <c r="I204" s="4">
        <v>89.99</v>
      </c>
      <c r="J204" s="4" t="s">
        <v>59</v>
      </c>
      <c r="K204" s="4" t="s">
        <v>37</v>
      </c>
      <c r="L204" s="4" t="s">
        <v>24</v>
      </c>
      <c r="M204" s="5">
        <v>44777</v>
      </c>
      <c r="N204" s="4">
        <v>179.98</v>
      </c>
    </row>
    <row r="205" spans="1:14" ht="15.75" customHeight="1" x14ac:dyDescent="0.3">
      <c r="A205" s="4" t="s">
        <v>352</v>
      </c>
      <c r="B205" s="5">
        <v>45688</v>
      </c>
      <c r="C205" s="4" t="s">
        <v>44</v>
      </c>
      <c r="D205" s="4" t="s">
        <v>45</v>
      </c>
      <c r="E205" s="4" t="s">
        <v>119</v>
      </c>
      <c r="F205" s="4" t="s">
        <v>120</v>
      </c>
      <c r="G205" s="4" t="s">
        <v>21</v>
      </c>
      <c r="H205" s="4">
        <v>3</v>
      </c>
      <c r="I205" s="4">
        <v>89.99</v>
      </c>
      <c r="J205" s="4" t="s">
        <v>59</v>
      </c>
      <c r="K205" s="4" t="s">
        <v>37</v>
      </c>
      <c r="L205" s="4" t="s">
        <v>29</v>
      </c>
      <c r="M205" s="5">
        <v>45307</v>
      </c>
      <c r="N205" s="4">
        <v>269.97000000000003</v>
      </c>
    </row>
    <row r="206" spans="1:14" ht="15.75" customHeight="1" x14ac:dyDescent="0.3">
      <c r="A206" s="4" t="s">
        <v>353</v>
      </c>
      <c r="B206" s="5">
        <v>45692</v>
      </c>
      <c r="C206" s="4" t="s">
        <v>327</v>
      </c>
      <c r="D206" s="4" t="s">
        <v>328</v>
      </c>
      <c r="E206" s="4" t="s">
        <v>33</v>
      </c>
      <c r="F206" s="4" t="s">
        <v>34</v>
      </c>
      <c r="G206" s="4" t="s">
        <v>35</v>
      </c>
      <c r="H206" s="4">
        <v>1</v>
      </c>
      <c r="I206" s="4">
        <v>59.99</v>
      </c>
      <c r="J206" s="4" t="s">
        <v>59</v>
      </c>
      <c r="K206" s="4" t="s">
        <v>23</v>
      </c>
      <c r="L206" s="4" t="s">
        <v>38</v>
      </c>
      <c r="M206" s="5">
        <v>45045</v>
      </c>
      <c r="N206" s="4">
        <v>59.99</v>
      </c>
    </row>
    <row r="207" spans="1:14" ht="15.75" customHeight="1" x14ac:dyDescent="0.3">
      <c r="A207" s="4" t="s">
        <v>354</v>
      </c>
      <c r="B207" s="5">
        <v>45695</v>
      </c>
      <c r="C207" s="4" t="s">
        <v>248</v>
      </c>
      <c r="D207" s="4" t="s">
        <v>249</v>
      </c>
      <c r="E207" s="4" t="s">
        <v>46</v>
      </c>
      <c r="F207" s="4" t="s">
        <v>47</v>
      </c>
      <c r="G207" s="4" t="s">
        <v>48</v>
      </c>
      <c r="H207" s="4">
        <v>3</v>
      </c>
      <c r="I207" s="4">
        <v>149.99</v>
      </c>
      <c r="J207" s="4" t="s">
        <v>59</v>
      </c>
      <c r="K207" s="4" t="s">
        <v>42</v>
      </c>
      <c r="L207" s="4" t="s">
        <v>29</v>
      </c>
      <c r="M207" s="5">
        <v>44564</v>
      </c>
      <c r="N207" s="4">
        <v>449.97</v>
      </c>
    </row>
    <row r="208" spans="1:14" ht="15.75" customHeight="1" x14ac:dyDescent="0.3">
      <c r="A208" s="4" t="s">
        <v>355</v>
      </c>
      <c r="B208" s="5">
        <v>45695</v>
      </c>
      <c r="C208" s="4" t="s">
        <v>95</v>
      </c>
      <c r="D208" s="4" t="s">
        <v>96</v>
      </c>
      <c r="E208" s="4" t="s">
        <v>107</v>
      </c>
      <c r="F208" s="4" t="s">
        <v>108</v>
      </c>
      <c r="G208" s="4" t="s">
        <v>48</v>
      </c>
      <c r="H208" s="4">
        <v>5</v>
      </c>
      <c r="I208" s="4">
        <v>299.99</v>
      </c>
      <c r="J208" s="4" t="s">
        <v>28</v>
      </c>
      <c r="K208" s="4" t="s">
        <v>37</v>
      </c>
      <c r="L208" s="4" t="s">
        <v>24</v>
      </c>
      <c r="M208" s="5">
        <v>44959</v>
      </c>
      <c r="N208" s="4">
        <v>1499.95</v>
      </c>
    </row>
    <row r="209" spans="1:14" ht="15.75" customHeight="1" x14ac:dyDescent="0.3">
      <c r="A209" s="4" t="s">
        <v>356</v>
      </c>
      <c r="B209" s="5">
        <v>45696</v>
      </c>
      <c r="C209" s="4" t="s">
        <v>152</v>
      </c>
      <c r="D209" s="4" t="s">
        <v>153</v>
      </c>
      <c r="E209" s="4" t="s">
        <v>33</v>
      </c>
      <c r="F209" s="4" t="s">
        <v>34</v>
      </c>
      <c r="G209" s="4" t="s">
        <v>35</v>
      </c>
      <c r="H209" s="4">
        <v>5</v>
      </c>
      <c r="I209" s="4">
        <v>59.99</v>
      </c>
      <c r="J209" s="4" t="s">
        <v>59</v>
      </c>
      <c r="K209" s="4" t="s">
        <v>23</v>
      </c>
      <c r="L209" s="4" t="s">
        <v>38</v>
      </c>
      <c r="M209" s="5">
        <v>45177</v>
      </c>
      <c r="N209" s="4">
        <v>299.95</v>
      </c>
    </row>
    <row r="210" spans="1:14" ht="15.75" customHeight="1" x14ac:dyDescent="0.3">
      <c r="A210" s="4" t="s">
        <v>357</v>
      </c>
      <c r="B210" s="5">
        <v>45701</v>
      </c>
      <c r="C210" s="4" t="s">
        <v>110</v>
      </c>
      <c r="D210" s="4" t="s">
        <v>111</v>
      </c>
      <c r="E210" s="4" t="s">
        <v>116</v>
      </c>
      <c r="F210" s="4" t="s">
        <v>117</v>
      </c>
      <c r="G210" s="4" t="s">
        <v>35</v>
      </c>
      <c r="H210" s="4">
        <v>3</v>
      </c>
      <c r="I210" s="4">
        <v>79.989999999999995</v>
      </c>
      <c r="J210" s="4" t="s">
        <v>22</v>
      </c>
      <c r="K210" s="4" t="s">
        <v>65</v>
      </c>
      <c r="L210" s="4" t="s">
        <v>29</v>
      </c>
      <c r="M210" s="5">
        <v>44436</v>
      </c>
      <c r="N210" s="4">
        <v>239.97</v>
      </c>
    </row>
    <row r="211" spans="1:14" ht="15.75" customHeight="1" x14ac:dyDescent="0.3">
      <c r="A211" s="4" t="s">
        <v>358</v>
      </c>
      <c r="B211" s="5">
        <v>45704</v>
      </c>
      <c r="C211" s="4" t="s">
        <v>31</v>
      </c>
      <c r="D211" s="4" t="s">
        <v>32</v>
      </c>
      <c r="E211" s="4" t="s">
        <v>128</v>
      </c>
      <c r="F211" s="4" t="s">
        <v>129</v>
      </c>
      <c r="G211" s="4" t="s">
        <v>48</v>
      </c>
      <c r="H211" s="4">
        <v>3</v>
      </c>
      <c r="I211" s="4">
        <v>199.99</v>
      </c>
      <c r="J211" s="4" t="s">
        <v>22</v>
      </c>
      <c r="K211" s="4" t="s">
        <v>23</v>
      </c>
      <c r="L211" s="4" t="s">
        <v>24</v>
      </c>
      <c r="M211" s="5">
        <v>44735</v>
      </c>
      <c r="N211" s="4">
        <v>599.97</v>
      </c>
    </row>
    <row r="212" spans="1:14" ht="15.75" customHeight="1" x14ac:dyDescent="0.3">
      <c r="A212" s="4" t="s">
        <v>359</v>
      </c>
      <c r="B212" s="5">
        <v>45704</v>
      </c>
      <c r="C212" s="4" t="s">
        <v>17</v>
      </c>
      <c r="D212" s="4" t="s">
        <v>18</v>
      </c>
      <c r="E212" s="4" t="s">
        <v>119</v>
      </c>
      <c r="F212" s="4" t="s">
        <v>120</v>
      </c>
      <c r="G212" s="4" t="s">
        <v>21</v>
      </c>
      <c r="H212" s="4">
        <v>2</v>
      </c>
      <c r="I212" s="4">
        <v>89.99</v>
      </c>
      <c r="J212" s="4" t="s">
        <v>36</v>
      </c>
      <c r="K212" s="4" t="s">
        <v>23</v>
      </c>
      <c r="L212" s="4" t="s">
        <v>24</v>
      </c>
      <c r="M212" s="5">
        <v>45257</v>
      </c>
      <c r="N212" s="4">
        <v>179.98</v>
      </c>
    </row>
    <row r="213" spans="1:14" ht="15.75" customHeight="1" x14ac:dyDescent="0.3">
      <c r="A213" s="4" t="s">
        <v>360</v>
      </c>
      <c r="B213" s="5">
        <v>45705</v>
      </c>
      <c r="C213" s="4" t="s">
        <v>261</v>
      </c>
      <c r="D213" s="4" t="s">
        <v>262</v>
      </c>
      <c r="E213" s="4" t="s">
        <v>46</v>
      </c>
      <c r="F213" s="4" t="s">
        <v>47</v>
      </c>
      <c r="G213" s="4" t="s">
        <v>48</v>
      </c>
      <c r="H213" s="4">
        <v>2</v>
      </c>
      <c r="I213" s="4">
        <v>149.99</v>
      </c>
      <c r="J213" s="4" t="s">
        <v>22</v>
      </c>
      <c r="K213" s="4" t="s">
        <v>37</v>
      </c>
      <c r="L213" s="4" t="s">
        <v>29</v>
      </c>
      <c r="M213" s="5">
        <v>44728</v>
      </c>
      <c r="N213" s="4">
        <v>299.98</v>
      </c>
    </row>
    <row r="214" spans="1:14" ht="15.75" customHeight="1" x14ac:dyDescent="0.3">
      <c r="A214" s="4" t="s">
        <v>361</v>
      </c>
      <c r="B214" s="5">
        <v>45707</v>
      </c>
      <c r="C214" s="4" t="s">
        <v>125</v>
      </c>
      <c r="D214" s="4" t="s">
        <v>126</v>
      </c>
      <c r="E214" s="4" t="s">
        <v>82</v>
      </c>
      <c r="F214" s="4" t="s">
        <v>83</v>
      </c>
      <c r="G214" s="4" t="s">
        <v>21</v>
      </c>
      <c r="H214" s="4">
        <v>5</v>
      </c>
      <c r="I214" s="4">
        <v>699.99</v>
      </c>
      <c r="J214" s="4" t="s">
        <v>36</v>
      </c>
      <c r="K214" s="4" t="s">
        <v>37</v>
      </c>
      <c r="L214" s="4" t="s">
        <v>29</v>
      </c>
      <c r="M214" s="5">
        <v>45352</v>
      </c>
      <c r="N214" s="4">
        <v>3499.95</v>
      </c>
    </row>
    <row r="215" spans="1:14" ht="15.75" customHeight="1" x14ac:dyDescent="0.3">
      <c r="A215" s="4" t="s">
        <v>362</v>
      </c>
      <c r="B215" s="5">
        <v>45707</v>
      </c>
      <c r="C215" s="4" t="s">
        <v>44</v>
      </c>
      <c r="D215" s="4" t="s">
        <v>45</v>
      </c>
      <c r="E215" s="4" t="s">
        <v>46</v>
      </c>
      <c r="F215" s="4" t="s">
        <v>47</v>
      </c>
      <c r="G215" s="4" t="s">
        <v>48</v>
      </c>
      <c r="H215" s="4">
        <v>3</v>
      </c>
      <c r="I215" s="4">
        <v>149.99</v>
      </c>
      <c r="J215" s="4" t="s">
        <v>36</v>
      </c>
      <c r="K215" s="4" t="s">
        <v>23</v>
      </c>
      <c r="L215" s="4" t="s">
        <v>38</v>
      </c>
      <c r="M215" s="5">
        <v>44633</v>
      </c>
      <c r="N215" s="4">
        <v>449.97</v>
      </c>
    </row>
    <row r="216" spans="1:14" ht="15.75" customHeight="1" x14ac:dyDescent="0.3">
      <c r="A216" s="4" t="s">
        <v>363</v>
      </c>
      <c r="B216" s="5">
        <v>45708</v>
      </c>
      <c r="C216" s="4" t="s">
        <v>98</v>
      </c>
      <c r="D216" s="4" t="s">
        <v>99</v>
      </c>
      <c r="E216" s="4" t="s">
        <v>63</v>
      </c>
      <c r="F216" s="4" t="s">
        <v>64</v>
      </c>
      <c r="G216" s="4" t="s">
        <v>21</v>
      </c>
      <c r="H216" s="4">
        <v>3</v>
      </c>
      <c r="I216" s="4">
        <v>899.99</v>
      </c>
      <c r="J216" s="4" t="s">
        <v>22</v>
      </c>
      <c r="K216" s="4" t="s">
        <v>65</v>
      </c>
      <c r="L216" s="4" t="s">
        <v>38</v>
      </c>
      <c r="M216" s="5">
        <v>44613</v>
      </c>
      <c r="N216" s="4">
        <v>2699.97</v>
      </c>
    </row>
    <row r="217" spans="1:14" ht="15.75" customHeight="1" x14ac:dyDescent="0.3">
      <c r="A217" s="4" t="s">
        <v>364</v>
      </c>
      <c r="B217" s="5">
        <v>45708</v>
      </c>
      <c r="C217" s="4" t="s">
        <v>194</v>
      </c>
      <c r="D217" s="4" t="s">
        <v>195</v>
      </c>
      <c r="E217" s="4" t="s">
        <v>128</v>
      </c>
      <c r="F217" s="4" t="s">
        <v>129</v>
      </c>
      <c r="G217" s="4" t="s">
        <v>48</v>
      </c>
      <c r="H217" s="4">
        <v>3</v>
      </c>
      <c r="I217" s="4">
        <v>199.99</v>
      </c>
      <c r="J217" s="4" t="s">
        <v>22</v>
      </c>
      <c r="K217" s="4" t="s">
        <v>52</v>
      </c>
      <c r="L217" s="4" t="s">
        <v>29</v>
      </c>
      <c r="M217" s="5">
        <v>44823</v>
      </c>
      <c r="N217" s="4">
        <v>599.97</v>
      </c>
    </row>
    <row r="218" spans="1:14" ht="15.75" customHeight="1" x14ac:dyDescent="0.3">
      <c r="A218" s="4" t="s">
        <v>365</v>
      </c>
      <c r="B218" s="5">
        <v>45710</v>
      </c>
      <c r="C218" s="4" t="s">
        <v>57</v>
      </c>
      <c r="D218" s="4" t="s">
        <v>58</v>
      </c>
      <c r="E218" s="4" t="s">
        <v>107</v>
      </c>
      <c r="F218" s="4" t="s">
        <v>108</v>
      </c>
      <c r="G218" s="4" t="s">
        <v>48</v>
      </c>
      <c r="H218" s="4">
        <v>5</v>
      </c>
      <c r="I218" s="4">
        <v>299.99</v>
      </c>
      <c r="J218" s="4" t="s">
        <v>22</v>
      </c>
      <c r="K218" s="4" t="s">
        <v>52</v>
      </c>
      <c r="L218" s="4" t="s">
        <v>38</v>
      </c>
      <c r="M218" s="5">
        <v>45142</v>
      </c>
      <c r="N218" s="4">
        <v>1499.95</v>
      </c>
    </row>
    <row r="219" spans="1:14" ht="15.75" customHeight="1" x14ac:dyDescent="0.3">
      <c r="A219" s="4" t="s">
        <v>366</v>
      </c>
      <c r="B219" s="5">
        <v>45710</v>
      </c>
      <c r="C219" s="4" t="s">
        <v>152</v>
      </c>
      <c r="D219" s="4" t="s">
        <v>153</v>
      </c>
      <c r="E219" s="4" t="s">
        <v>82</v>
      </c>
      <c r="F219" s="4" t="s">
        <v>83</v>
      </c>
      <c r="G219" s="4" t="s">
        <v>21</v>
      </c>
      <c r="H219" s="4">
        <v>1</v>
      </c>
      <c r="I219" s="4">
        <v>699.99</v>
      </c>
      <c r="J219" s="4" t="s">
        <v>36</v>
      </c>
      <c r="K219" s="4" t="s">
        <v>52</v>
      </c>
      <c r="L219" s="4" t="s">
        <v>24</v>
      </c>
      <c r="M219" s="5">
        <v>44934</v>
      </c>
      <c r="N219" s="4">
        <v>699.99</v>
      </c>
    </row>
    <row r="220" spans="1:14" ht="15.75" customHeight="1" x14ac:dyDescent="0.3">
      <c r="A220" s="4" t="s">
        <v>367</v>
      </c>
      <c r="B220" s="5">
        <v>45711</v>
      </c>
      <c r="C220" s="4" t="s">
        <v>248</v>
      </c>
      <c r="D220" s="4" t="s">
        <v>249</v>
      </c>
      <c r="E220" s="4" t="s">
        <v>82</v>
      </c>
      <c r="F220" s="4" t="s">
        <v>83</v>
      </c>
      <c r="G220" s="4" t="s">
        <v>21</v>
      </c>
      <c r="H220" s="4">
        <v>1</v>
      </c>
      <c r="I220" s="4">
        <v>699.99</v>
      </c>
      <c r="J220" s="4" t="s">
        <v>22</v>
      </c>
      <c r="K220" s="4" t="s">
        <v>42</v>
      </c>
      <c r="L220" s="4" t="s">
        <v>29</v>
      </c>
      <c r="M220" s="5">
        <v>44583</v>
      </c>
      <c r="N220" s="4">
        <v>699.99</v>
      </c>
    </row>
    <row r="221" spans="1:14" ht="15.75" customHeight="1" x14ac:dyDescent="0.3">
      <c r="A221" s="4" t="s">
        <v>368</v>
      </c>
      <c r="B221" s="5">
        <v>45711</v>
      </c>
      <c r="C221" s="4" t="s">
        <v>327</v>
      </c>
      <c r="D221" s="4" t="s">
        <v>328</v>
      </c>
      <c r="E221" s="4" t="s">
        <v>46</v>
      </c>
      <c r="F221" s="4" t="s">
        <v>47</v>
      </c>
      <c r="G221" s="4" t="s">
        <v>48</v>
      </c>
      <c r="H221" s="4">
        <v>4</v>
      </c>
      <c r="I221" s="4">
        <v>149.99</v>
      </c>
      <c r="J221" s="4" t="s">
        <v>36</v>
      </c>
      <c r="K221" s="4" t="s">
        <v>42</v>
      </c>
      <c r="L221" s="4" t="s">
        <v>29</v>
      </c>
      <c r="M221" s="5">
        <v>44412</v>
      </c>
      <c r="N221" s="4">
        <v>599.96</v>
      </c>
    </row>
    <row r="222" spans="1:14" ht="15.75" customHeight="1" x14ac:dyDescent="0.3">
      <c r="A222" s="4" t="s">
        <v>369</v>
      </c>
      <c r="B222" s="5">
        <v>45711</v>
      </c>
      <c r="C222" s="4" t="s">
        <v>213</v>
      </c>
      <c r="D222" s="4" t="s">
        <v>214</v>
      </c>
      <c r="E222" s="4" t="s">
        <v>119</v>
      </c>
      <c r="F222" s="4" t="s">
        <v>120</v>
      </c>
      <c r="G222" s="4" t="s">
        <v>21</v>
      </c>
      <c r="H222" s="4">
        <v>5</v>
      </c>
      <c r="I222" s="4">
        <v>89.99</v>
      </c>
      <c r="J222" s="4" t="s">
        <v>36</v>
      </c>
      <c r="K222" s="4" t="s">
        <v>52</v>
      </c>
      <c r="L222" s="4" t="s">
        <v>29</v>
      </c>
      <c r="M222" s="5">
        <v>45140</v>
      </c>
      <c r="N222" s="4">
        <v>449.95</v>
      </c>
    </row>
    <row r="223" spans="1:14" ht="15.75" customHeight="1" x14ac:dyDescent="0.3">
      <c r="A223" s="4" t="s">
        <v>370</v>
      </c>
      <c r="B223" s="5">
        <v>45712</v>
      </c>
      <c r="C223" s="4" t="s">
        <v>140</v>
      </c>
      <c r="D223" s="4" t="s">
        <v>141</v>
      </c>
      <c r="E223" s="4" t="s">
        <v>128</v>
      </c>
      <c r="F223" s="4" t="s">
        <v>129</v>
      </c>
      <c r="G223" s="4" t="s">
        <v>48</v>
      </c>
      <c r="H223" s="4">
        <v>2</v>
      </c>
      <c r="I223" s="4">
        <v>199.99</v>
      </c>
      <c r="J223" s="4" t="s">
        <v>22</v>
      </c>
      <c r="K223" s="4" t="s">
        <v>23</v>
      </c>
      <c r="L223" s="4" t="s">
        <v>29</v>
      </c>
      <c r="M223" s="5">
        <v>44573</v>
      </c>
      <c r="N223" s="4">
        <v>399.98</v>
      </c>
    </row>
    <row r="224" spans="1:14" ht="15.75" customHeight="1" x14ac:dyDescent="0.3">
      <c r="A224" s="4" t="s">
        <v>371</v>
      </c>
      <c r="B224" s="5">
        <v>45715</v>
      </c>
      <c r="C224" s="4" t="s">
        <v>261</v>
      </c>
      <c r="D224" s="4" t="s">
        <v>262</v>
      </c>
      <c r="E224" s="4" t="s">
        <v>33</v>
      </c>
      <c r="F224" s="4" t="s">
        <v>34</v>
      </c>
      <c r="G224" s="4" t="s">
        <v>35</v>
      </c>
      <c r="H224" s="4">
        <v>4</v>
      </c>
      <c r="I224" s="4">
        <v>59.99</v>
      </c>
      <c r="J224" s="4" t="s">
        <v>22</v>
      </c>
      <c r="K224" s="4" t="s">
        <v>52</v>
      </c>
      <c r="L224" s="4" t="s">
        <v>38</v>
      </c>
      <c r="M224" s="5">
        <v>45070</v>
      </c>
      <c r="N224" s="4">
        <v>239.96</v>
      </c>
    </row>
    <row r="225" spans="1:14" ht="15.75" customHeight="1" x14ac:dyDescent="0.3">
      <c r="A225" s="4" t="s">
        <v>372</v>
      </c>
      <c r="B225" s="5">
        <v>45715</v>
      </c>
      <c r="C225" s="4" t="s">
        <v>95</v>
      </c>
      <c r="D225" s="4" t="s">
        <v>96</v>
      </c>
      <c r="E225" s="4" t="s">
        <v>107</v>
      </c>
      <c r="F225" s="4" t="s">
        <v>108</v>
      </c>
      <c r="G225" s="4" t="s">
        <v>48</v>
      </c>
      <c r="H225" s="4">
        <v>2</v>
      </c>
      <c r="I225" s="4">
        <v>299.99</v>
      </c>
      <c r="J225" s="4" t="s">
        <v>36</v>
      </c>
      <c r="K225" s="4" t="s">
        <v>37</v>
      </c>
      <c r="L225" s="4" t="s">
        <v>24</v>
      </c>
      <c r="M225" s="5">
        <v>44576</v>
      </c>
      <c r="N225" s="4">
        <v>599.98</v>
      </c>
    </row>
    <row r="226" spans="1:14" ht="15.75" customHeight="1" x14ac:dyDescent="0.3">
      <c r="A226" s="4" t="s">
        <v>373</v>
      </c>
      <c r="B226" s="5">
        <v>45718</v>
      </c>
      <c r="C226" s="4" t="s">
        <v>57</v>
      </c>
      <c r="D226" s="4" t="s">
        <v>58</v>
      </c>
      <c r="E226" s="4" t="s">
        <v>46</v>
      </c>
      <c r="F226" s="4" t="s">
        <v>47</v>
      </c>
      <c r="G226" s="4" t="s">
        <v>48</v>
      </c>
      <c r="H226" s="4">
        <v>2</v>
      </c>
      <c r="I226" s="4">
        <v>149.99</v>
      </c>
      <c r="J226" s="4" t="s">
        <v>22</v>
      </c>
      <c r="K226" s="4" t="s">
        <v>23</v>
      </c>
      <c r="L226" s="4" t="s">
        <v>24</v>
      </c>
      <c r="M226" s="5">
        <v>45068</v>
      </c>
      <c r="N226" s="4">
        <v>299.98</v>
      </c>
    </row>
    <row r="227" spans="1:14" ht="15.75" customHeight="1" x14ac:dyDescent="0.3">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row>
    <row r="228" spans="1:14" ht="15.75" customHeight="1" x14ac:dyDescent="0.3">
      <c r="A228" s="4" t="s">
        <v>375</v>
      </c>
      <c r="B228" s="5">
        <v>45721</v>
      </c>
      <c r="C228" s="4" t="s">
        <v>77</v>
      </c>
      <c r="D228" s="4" t="s">
        <v>78</v>
      </c>
      <c r="E228" s="4" t="s">
        <v>33</v>
      </c>
      <c r="F228" s="4" t="s">
        <v>34</v>
      </c>
      <c r="G228" s="4" t="s">
        <v>35</v>
      </c>
      <c r="H228" s="4">
        <v>5</v>
      </c>
      <c r="I228" s="4">
        <v>59.99</v>
      </c>
      <c r="J228" s="4" t="s">
        <v>22</v>
      </c>
      <c r="K228" s="4" t="s">
        <v>52</v>
      </c>
      <c r="L228" s="4" t="s">
        <v>29</v>
      </c>
      <c r="M228" s="5">
        <v>45291</v>
      </c>
      <c r="N228" s="4">
        <v>299.95</v>
      </c>
    </row>
    <row r="229" spans="1:14" ht="15.75" customHeight="1" x14ac:dyDescent="0.3">
      <c r="A229" s="4" t="s">
        <v>376</v>
      </c>
      <c r="B229" s="5">
        <v>45723</v>
      </c>
      <c r="C229" s="4" t="s">
        <v>17</v>
      </c>
      <c r="D229" s="4" t="s">
        <v>18</v>
      </c>
      <c r="E229" s="4" t="s">
        <v>119</v>
      </c>
      <c r="F229" s="4" t="s">
        <v>120</v>
      </c>
      <c r="G229" s="4" t="s">
        <v>21</v>
      </c>
      <c r="H229" s="4">
        <v>2</v>
      </c>
      <c r="I229" s="4">
        <v>89.99</v>
      </c>
      <c r="J229" s="4" t="s">
        <v>28</v>
      </c>
      <c r="K229" s="4" t="s">
        <v>52</v>
      </c>
      <c r="L229" s="4" t="s">
        <v>29</v>
      </c>
      <c r="M229" s="5">
        <v>45295</v>
      </c>
      <c r="N229" s="4">
        <v>179.98</v>
      </c>
    </row>
    <row r="230" spans="1:14" ht="15.75" customHeight="1" x14ac:dyDescent="0.3">
      <c r="A230" s="4" t="s">
        <v>377</v>
      </c>
      <c r="B230" s="5">
        <v>45723</v>
      </c>
      <c r="C230" s="4" t="s">
        <v>122</v>
      </c>
      <c r="D230" s="4" t="s">
        <v>123</v>
      </c>
      <c r="E230" s="4" t="s">
        <v>19</v>
      </c>
      <c r="F230" s="4" t="s">
        <v>20</v>
      </c>
      <c r="G230" s="4" t="s">
        <v>21</v>
      </c>
      <c r="H230" s="4">
        <v>5</v>
      </c>
      <c r="I230" s="4">
        <v>249.99</v>
      </c>
      <c r="J230" s="4" t="s">
        <v>22</v>
      </c>
      <c r="K230" s="4" t="s">
        <v>65</v>
      </c>
      <c r="L230" s="4" t="s">
        <v>38</v>
      </c>
      <c r="M230" s="5">
        <v>44540</v>
      </c>
      <c r="N230" s="4">
        <v>1249.95</v>
      </c>
    </row>
    <row r="231" spans="1:14" ht="15.75" customHeight="1" x14ac:dyDescent="0.3">
      <c r="A231" s="4" t="s">
        <v>378</v>
      </c>
      <c r="B231" s="5">
        <v>45724</v>
      </c>
      <c r="C231" s="4" t="s">
        <v>228</v>
      </c>
      <c r="D231" s="4" t="s">
        <v>229</v>
      </c>
      <c r="E231" s="4" t="s">
        <v>46</v>
      </c>
      <c r="F231" s="4" t="s">
        <v>47</v>
      </c>
      <c r="G231" s="4" t="s">
        <v>48</v>
      </c>
      <c r="H231" s="4">
        <v>2</v>
      </c>
      <c r="I231" s="4">
        <v>149.99</v>
      </c>
      <c r="J231" s="4" t="s">
        <v>36</v>
      </c>
      <c r="K231" s="4" t="s">
        <v>23</v>
      </c>
      <c r="L231" s="4" t="s">
        <v>29</v>
      </c>
      <c r="M231" s="5">
        <v>44632</v>
      </c>
      <c r="N231" s="4">
        <v>299.98</v>
      </c>
    </row>
    <row r="232" spans="1:14" ht="15.75" customHeight="1" x14ac:dyDescent="0.3">
      <c r="A232" s="4" t="s">
        <v>379</v>
      </c>
      <c r="B232" s="5">
        <v>45724</v>
      </c>
      <c r="C232" s="4" t="s">
        <v>146</v>
      </c>
      <c r="D232" s="4" t="s">
        <v>147</v>
      </c>
      <c r="E232" s="4" t="s">
        <v>63</v>
      </c>
      <c r="F232" s="4" t="s">
        <v>64</v>
      </c>
      <c r="G232" s="4" t="s">
        <v>21</v>
      </c>
      <c r="H232" s="4">
        <v>5</v>
      </c>
      <c r="I232" s="4">
        <v>899.99</v>
      </c>
      <c r="J232" s="4" t="s">
        <v>36</v>
      </c>
      <c r="K232" s="4" t="s">
        <v>65</v>
      </c>
      <c r="L232" s="4" t="s">
        <v>29</v>
      </c>
      <c r="M232" s="5">
        <v>45389</v>
      </c>
      <c r="N232" s="4">
        <v>4499.95</v>
      </c>
    </row>
    <row r="233" spans="1:14" ht="15.75" customHeight="1" x14ac:dyDescent="0.3">
      <c r="A233" s="4" t="s">
        <v>380</v>
      </c>
      <c r="B233" s="5">
        <v>45724</v>
      </c>
      <c r="C233" s="4" t="s">
        <v>57</v>
      </c>
      <c r="D233" s="4" t="s">
        <v>58</v>
      </c>
      <c r="E233" s="4" t="s">
        <v>46</v>
      </c>
      <c r="F233" s="4" t="s">
        <v>47</v>
      </c>
      <c r="G233" s="4" t="s">
        <v>48</v>
      </c>
      <c r="H233" s="4">
        <v>4</v>
      </c>
      <c r="I233" s="4">
        <v>149.99</v>
      </c>
      <c r="J233" s="4" t="s">
        <v>22</v>
      </c>
      <c r="K233" s="4" t="s">
        <v>23</v>
      </c>
      <c r="L233" s="4" t="s">
        <v>38</v>
      </c>
      <c r="M233" s="5">
        <v>45263</v>
      </c>
      <c r="N233" s="4">
        <v>599.96</v>
      </c>
    </row>
    <row r="234" spans="1:14" ht="15.75" customHeight="1" x14ac:dyDescent="0.3">
      <c r="A234" s="4" t="s">
        <v>381</v>
      </c>
      <c r="B234" s="5">
        <v>45726</v>
      </c>
      <c r="C234" s="4" t="s">
        <v>146</v>
      </c>
      <c r="D234" s="4" t="s">
        <v>147</v>
      </c>
      <c r="E234" s="4" t="s">
        <v>19</v>
      </c>
      <c r="F234" s="4" t="s">
        <v>20</v>
      </c>
      <c r="G234" s="4" t="s">
        <v>21</v>
      </c>
      <c r="H234" s="4">
        <v>1</v>
      </c>
      <c r="I234" s="4">
        <v>249.99</v>
      </c>
      <c r="J234" s="4" t="s">
        <v>22</v>
      </c>
      <c r="K234" s="4" t="s">
        <v>42</v>
      </c>
      <c r="L234" s="4" t="s">
        <v>38</v>
      </c>
      <c r="M234" s="5">
        <v>45117</v>
      </c>
      <c r="N234" s="4">
        <v>249.99</v>
      </c>
    </row>
    <row r="235" spans="1:14" ht="15.75" customHeight="1" x14ac:dyDescent="0.3">
      <c r="A235" s="4" t="s">
        <v>382</v>
      </c>
      <c r="B235" s="5">
        <v>45734</v>
      </c>
      <c r="C235" s="4" t="s">
        <v>194</v>
      </c>
      <c r="D235" s="4" t="s">
        <v>195</v>
      </c>
      <c r="E235" s="4" t="s">
        <v>33</v>
      </c>
      <c r="F235" s="4" t="s">
        <v>34</v>
      </c>
      <c r="G235" s="4" t="s">
        <v>35</v>
      </c>
      <c r="H235" s="4">
        <v>2</v>
      </c>
      <c r="I235" s="4">
        <v>59.99</v>
      </c>
      <c r="J235" s="4" t="s">
        <v>28</v>
      </c>
      <c r="K235" s="4" t="s">
        <v>52</v>
      </c>
      <c r="L235" s="4" t="s">
        <v>24</v>
      </c>
      <c r="M235" s="5">
        <v>45193</v>
      </c>
      <c r="N235" s="4">
        <v>119.98</v>
      </c>
    </row>
    <row r="236" spans="1:14" ht="15.75" customHeight="1" x14ac:dyDescent="0.3">
      <c r="A236" s="4" t="s">
        <v>383</v>
      </c>
      <c r="B236" s="5">
        <v>45737</v>
      </c>
      <c r="C236" s="4" t="s">
        <v>134</v>
      </c>
      <c r="D236" s="4" t="s">
        <v>135</v>
      </c>
      <c r="E236" s="4" t="s">
        <v>46</v>
      </c>
      <c r="F236" s="4" t="s">
        <v>47</v>
      </c>
      <c r="G236" s="4" t="s">
        <v>48</v>
      </c>
      <c r="H236" s="4">
        <v>2</v>
      </c>
      <c r="I236" s="4">
        <v>149.99</v>
      </c>
      <c r="J236" s="4" t="s">
        <v>22</v>
      </c>
      <c r="K236" s="4" t="s">
        <v>52</v>
      </c>
      <c r="L236" s="4" t="s">
        <v>29</v>
      </c>
      <c r="M236" s="5">
        <v>45233</v>
      </c>
      <c r="N236" s="4">
        <v>299.98</v>
      </c>
    </row>
    <row r="237" spans="1:14" ht="15.75" customHeight="1" x14ac:dyDescent="0.3">
      <c r="A237" s="4" t="s">
        <v>384</v>
      </c>
      <c r="B237" s="5">
        <v>45737</v>
      </c>
      <c r="C237" s="4" t="s">
        <v>152</v>
      </c>
      <c r="D237" s="4" t="s">
        <v>153</v>
      </c>
      <c r="E237" s="4" t="s">
        <v>63</v>
      </c>
      <c r="F237" s="4" t="s">
        <v>64</v>
      </c>
      <c r="G237" s="4" t="s">
        <v>21</v>
      </c>
      <c r="H237" s="4">
        <v>3</v>
      </c>
      <c r="I237" s="4">
        <v>899.99</v>
      </c>
      <c r="J237" s="4" t="s">
        <v>59</v>
      </c>
      <c r="K237" s="4" t="s">
        <v>42</v>
      </c>
      <c r="L237" s="4" t="s">
        <v>29</v>
      </c>
      <c r="M237" s="5">
        <v>44876</v>
      </c>
      <c r="N237" s="4">
        <v>2699.97</v>
      </c>
    </row>
    <row r="238" spans="1:14" ht="15.75" customHeight="1" x14ac:dyDescent="0.3">
      <c r="A238" s="4" t="s">
        <v>385</v>
      </c>
      <c r="B238" s="5">
        <v>45737</v>
      </c>
      <c r="C238" s="4" t="s">
        <v>50</v>
      </c>
      <c r="D238" s="4" t="s">
        <v>51</v>
      </c>
      <c r="E238" s="4" t="s">
        <v>63</v>
      </c>
      <c r="F238" s="4" t="s">
        <v>64</v>
      </c>
      <c r="G238" s="4" t="s">
        <v>21</v>
      </c>
      <c r="H238" s="4">
        <v>3</v>
      </c>
      <c r="I238" s="4">
        <v>899.99</v>
      </c>
      <c r="J238" s="4" t="s">
        <v>36</v>
      </c>
      <c r="K238" s="4" t="s">
        <v>42</v>
      </c>
      <c r="L238" s="4" t="s">
        <v>24</v>
      </c>
      <c r="M238" s="5">
        <v>44975</v>
      </c>
      <c r="N238" s="4">
        <v>2699.97</v>
      </c>
    </row>
    <row r="239" spans="1:14" ht="15.75" customHeight="1" x14ac:dyDescent="0.3">
      <c r="A239" s="4" t="s">
        <v>386</v>
      </c>
      <c r="B239" s="5">
        <v>45739</v>
      </c>
      <c r="C239" s="4" t="s">
        <v>17</v>
      </c>
      <c r="D239" s="4" t="s">
        <v>18</v>
      </c>
      <c r="E239" s="4" t="s">
        <v>107</v>
      </c>
      <c r="F239" s="4" t="s">
        <v>108</v>
      </c>
      <c r="G239" s="4" t="s">
        <v>48</v>
      </c>
      <c r="H239" s="4">
        <v>3</v>
      </c>
      <c r="I239" s="4">
        <v>299.99</v>
      </c>
      <c r="J239" s="4" t="s">
        <v>28</v>
      </c>
      <c r="K239" s="4" t="s">
        <v>52</v>
      </c>
      <c r="L239" s="4" t="s">
        <v>29</v>
      </c>
      <c r="M239" s="5">
        <v>45234</v>
      </c>
      <c r="N239" s="4">
        <v>899.97</v>
      </c>
    </row>
    <row r="240" spans="1:14" ht="15.75" customHeight="1" x14ac:dyDescent="0.3">
      <c r="A240" s="4" t="s">
        <v>387</v>
      </c>
      <c r="B240" s="5">
        <v>45740</v>
      </c>
      <c r="C240" s="4" t="s">
        <v>388</v>
      </c>
      <c r="D240" s="4" t="s">
        <v>389</v>
      </c>
      <c r="E240" s="4" t="s">
        <v>46</v>
      </c>
      <c r="F240" s="4" t="s">
        <v>47</v>
      </c>
      <c r="G240" s="4" t="s">
        <v>48</v>
      </c>
      <c r="H240" s="4">
        <v>4</v>
      </c>
      <c r="I240" s="4">
        <v>149.99</v>
      </c>
      <c r="J240" s="4" t="s">
        <v>36</v>
      </c>
      <c r="K240" s="4" t="s">
        <v>52</v>
      </c>
      <c r="L240" s="4" t="s">
        <v>38</v>
      </c>
      <c r="M240" s="5">
        <v>44560</v>
      </c>
      <c r="N240" s="4">
        <v>599.96</v>
      </c>
    </row>
    <row r="241" spans="1:14" ht="15.75" customHeight="1" x14ac:dyDescent="0.3">
      <c r="A241" s="4" t="s">
        <v>390</v>
      </c>
      <c r="B241" s="5">
        <v>45743</v>
      </c>
      <c r="C241" s="4" t="s">
        <v>104</v>
      </c>
      <c r="D241" s="4" t="s">
        <v>105</v>
      </c>
      <c r="E241" s="4" t="s">
        <v>116</v>
      </c>
      <c r="F241" s="4" t="s">
        <v>117</v>
      </c>
      <c r="G241" s="4" t="s">
        <v>35</v>
      </c>
      <c r="H241" s="4">
        <v>4</v>
      </c>
      <c r="I241" s="4">
        <v>79.989999999999995</v>
      </c>
      <c r="J241" s="4" t="s">
        <v>28</v>
      </c>
      <c r="K241" s="4" t="s">
        <v>23</v>
      </c>
      <c r="L241" s="4" t="s">
        <v>24</v>
      </c>
      <c r="M241" s="5">
        <v>45288</v>
      </c>
      <c r="N241" s="4">
        <v>319.95999999999998</v>
      </c>
    </row>
    <row r="242" spans="1:14" ht="15.75" customHeight="1" x14ac:dyDescent="0.3">
      <c r="A242" s="4" t="s">
        <v>391</v>
      </c>
      <c r="B242" s="5">
        <v>45745</v>
      </c>
      <c r="C242" s="4" t="s">
        <v>187</v>
      </c>
      <c r="D242" s="4" t="s">
        <v>188</v>
      </c>
      <c r="E242" s="4" t="s">
        <v>119</v>
      </c>
      <c r="F242" s="4" t="s">
        <v>120</v>
      </c>
      <c r="G242" s="4" t="s">
        <v>21</v>
      </c>
      <c r="H242" s="4">
        <v>5</v>
      </c>
      <c r="I242" s="4">
        <v>89.99</v>
      </c>
      <c r="J242" s="4" t="s">
        <v>36</v>
      </c>
      <c r="K242" s="4" t="s">
        <v>37</v>
      </c>
      <c r="L242" s="4" t="s">
        <v>24</v>
      </c>
      <c r="M242" s="5">
        <v>44704</v>
      </c>
      <c r="N242" s="4">
        <v>449.95</v>
      </c>
    </row>
    <row r="243" spans="1:14" ht="15.75" customHeight="1" x14ac:dyDescent="0.3">
      <c r="A243" s="4" t="s">
        <v>392</v>
      </c>
      <c r="B243" s="5">
        <v>45746</v>
      </c>
      <c r="C243" s="4" t="s">
        <v>95</v>
      </c>
      <c r="D243" s="4" t="s">
        <v>96</v>
      </c>
      <c r="E243" s="4" t="s">
        <v>46</v>
      </c>
      <c r="F243" s="4" t="s">
        <v>47</v>
      </c>
      <c r="G243" s="4" t="s">
        <v>48</v>
      </c>
      <c r="H243" s="4">
        <v>3</v>
      </c>
      <c r="I243" s="4">
        <v>149.99</v>
      </c>
      <c r="J243" s="4" t="s">
        <v>36</v>
      </c>
      <c r="K243" s="4" t="s">
        <v>23</v>
      </c>
      <c r="L243" s="4" t="s">
        <v>38</v>
      </c>
      <c r="M243" s="5">
        <v>45171</v>
      </c>
      <c r="N243" s="4">
        <v>449.97</v>
      </c>
    </row>
    <row r="244" spans="1:14" ht="15.75" customHeight="1" x14ac:dyDescent="0.3">
      <c r="A244" s="4" t="s">
        <v>393</v>
      </c>
      <c r="B244" s="5">
        <v>45746</v>
      </c>
      <c r="C244" s="4" t="s">
        <v>67</v>
      </c>
      <c r="D244" s="4" t="s">
        <v>68</v>
      </c>
      <c r="E244" s="4" t="s">
        <v>119</v>
      </c>
      <c r="F244" s="4" t="s">
        <v>120</v>
      </c>
      <c r="G244" s="4" t="s">
        <v>21</v>
      </c>
      <c r="H244" s="4">
        <v>2</v>
      </c>
      <c r="I244" s="4">
        <v>89.99</v>
      </c>
      <c r="J244" s="4" t="s">
        <v>59</v>
      </c>
      <c r="K244" s="4" t="s">
        <v>52</v>
      </c>
      <c r="L244" s="4" t="s">
        <v>29</v>
      </c>
      <c r="M244" s="5">
        <v>44522</v>
      </c>
      <c r="N244" s="4">
        <v>179.98</v>
      </c>
    </row>
    <row r="245" spans="1:14" ht="15.75" customHeight="1" x14ac:dyDescent="0.3">
      <c r="A245" s="4" t="s">
        <v>394</v>
      </c>
      <c r="B245" s="5">
        <v>45748</v>
      </c>
      <c r="C245" s="4" t="s">
        <v>104</v>
      </c>
      <c r="D245" s="4" t="s">
        <v>105</v>
      </c>
      <c r="E245" s="4" t="s">
        <v>82</v>
      </c>
      <c r="F245" s="4" t="s">
        <v>83</v>
      </c>
      <c r="G245" s="4" t="s">
        <v>21</v>
      </c>
      <c r="H245" s="4">
        <v>2</v>
      </c>
      <c r="I245" s="4">
        <v>699.99</v>
      </c>
      <c r="J245" s="4" t="s">
        <v>36</v>
      </c>
      <c r="K245" s="4" t="s">
        <v>42</v>
      </c>
      <c r="L245" s="4" t="s">
        <v>38</v>
      </c>
      <c r="M245" s="5">
        <v>44618</v>
      </c>
      <c r="N245" s="4">
        <v>1399.98</v>
      </c>
    </row>
    <row r="246" spans="1:14" ht="15.75" customHeight="1" x14ac:dyDescent="0.3">
      <c r="A246" s="4" t="s">
        <v>395</v>
      </c>
      <c r="B246" s="5">
        <v>45749</v>
      </c>
      <c r="C246" s="4" t="s">
        <v>125</v>
      </c>
      <c r="D246" s="4" t="s">
        <v>126</v>
      </c>
      <c r="E246" s="4" t="s">
        <v>63</v>
      </c>
      <c r="F246" s="4" t="s">
        <v>64</v>
      </c>
      <c r="G246" s="4" t="s">
        <v>21</v>
      </c>
      <c r="H246" s="4">
        <v>3</v>
      </c>
      <c r="I246" s="4">
        <v>899.99</v>
      </c>
      <c r="J246" s="4" t="s">
        <v>22</v>
      </c>
      <c r="K246" s="4" t="s">
        <v>23</v>
      </c>
      <c r="L246" s="4" t="s">
        <v>38</v>
      </c>
      <c r="M246" s="5">
        <v>44953</v>
      </c>
      <c r="N246" s="4">
        <v>2699.97</v>
      </c>
    </row>
    <row r="247" spans="1:14" ht="15.75" customHeight="1" x14ac:dyDescent="0.3">
      <c r="A247" s="4" t="s">
        <v>396</v>
      </c>
      <c r="B247" s="5">
        <v>45755</v>
      </c>
      <c r="C247" s="4" t="s">
        <v>95</v>
      </c>
      <c r="D247" s="4" t="s">
        <v>96</v>
      </c>
      <c r="E247" s="4" t="s">
        <v>116</v>
      </c>
      <c r="F247" s="4" t="s">
        <v>117</v>
      </c>
      <c r="G247" s="4" t="s">
        <v>35</v>
      </c>
      <c r="H247" s="4">
        <v>3</v>
      </c>
      <c r="I247" s="4">
        <v>79.989999999999995</v>
      </c>
      <c r="J247" s="4" t="s">
        <v>28</v>
      </c>
      <c r="K247" s="4" t="s">
        <v>42</v>
      </c>
      <c r="L247" s="4" t="s">
        <v>24</v>
      </c>
      <c r="M247" s="5">
        <v>44511</v>
      </c>
      <c r="N247" s="4">
        <v>239.97</v>
      </c>
    </row>
    <row r="248" spans="1:14" ht="15.75" customHeight="1" x14ac:dyDescent="0.3">
      <c r="A248" s="4" t="s">
        <v>397</v>
      </c>
      <c r="B248" s="5">
        <v>45756</v>
      </c>
      <c r="C248" s="4" t="s">
        <v>61</v>
      </c>
      <c r="D248" s="4" t="s">
        <v>62</v>
      </c>
      <c r="E248" s="4" t="s">
        <v>119</v>
      </c>
      <c r="F248" s="4" t="s">
        <v>120</v>
      </c>
      <c r="G248" s="4" t="s">
        <v>21</v>
      </c>
      <c r="H248" s="4">
        <v>1</v>
      </c>
      <c r="I248" s="4">
        <v>89.99</v>
      </c>
      <c r="J248" s="4" t="s">
        <v>59</v>
      </c>
      <c r="K248" s="4" t="s">
        <v>65</v>
      </c>
      <c r="L248" s="4" t="s">
        <v>24</v>
      </c>
      <c r="M248" s="5">
        <v>45346</v>
      </c>
      <c r="N248" s="4">
        <v>89.99</v>
      </c>
    </row>
    <row r="249" spans="1:14" ht="15.75" customHeight="1" x14ac:dyDescent="0.3">
      <c r="A249" s="4" t="s">
        <v>398</v>
      </c>
      <c r="B249" s="5">
        <v>45758</v>
      </c>
      <c r="C249" s="4" t="s">
        <v>295</v>
      </c>
      <c r="D249" s="4" t="s">
        <v>296</v>
      </c>
      <c r="E249" s="4" t="s">
        <v>82</v>
      </c>
      <c r="F249" s="4" t="s">
        <v>83</v>
      </c>
      <c r="G249" s="4" t="s">
        <v>21</v>
      </c>
      <c r="H249" s="4">
        <v>3</v>
      </c>
      <c r="I249" s="4">
        <v>699.99</v>
      </c>
      <c r="J249" s="4" t="s">
        <v>36</v>
      </c>
      <c r="K249" s="4" t="s">
        <v>42</v>
      </c>
      <c r="L249" s="4" t="s">
        <v>24</v>
      </c>
      <c r="M249" s="5">
        <v>44909</v>
      </c>
      <c r="N249" s="4">
        <v>2099.9699999999998</v>
      </c>
    </row>
    <row r="250" spans="1:14" ht="15.75" customHeight="1" x14ac:dyDescent="0.3">
      <c r="A250" s="4" t="s">
        <v>399</v>
      </c>
      <c r="B250" s="5">
        <v>45758</v>
      </c>
      <c r="C250" s="4" t="s">
        <v>228</v>
      </c>
      <c r="D250" s="4" t="s">
        <v>229</v>
      </c>
      <c r="E250" s="4" t="s">
        <v>119</v>
      </c>
      <c r="F250" s="4" t="s">
        <v>120</v>
      </c>
      <c r="G250" s="4" t="s">
        <v>21</v>
      </c>
      <c r="H250" s="4">
        <v>2</v>
      </c>
      <c r="I250" s="4">
        <v>89.99</v>
      </c>
      <c r="J250" s="4" t="s">
        <v>59</v>
      </c>
      <c r="K250" s="4" t="s">
        <v>65</v>
      </c>
      <c r="L250" s="4" t="s">
        <v>24</v>
      </c>
      <c r="M250" s="5">
        <v>45088</v>
      </c>
      <c r="N250" s="4">
        <v>179.98</v>
      </c>
    </row>
    <row r="251" spans="1:14" ht="15.75" customHeight="1" x14ac:dyDescent="0.3">
      <c r="A251" s="4" t="s">
        <v>400</v>
      </c>
      <c r="B251" s="5">
        <v>45758</v>
      </c>
      <c r="C251" s="4" t="s">
        <v>140</v>
      </c>
      <c r="D251" s="4" t="s">
        <v>141</v>
      </c>
      <c r="E251" s="4" t="s">
        <v>119</v>
      </c>
      <c r="F251" s="4" t="s">
        <v>120</v>
      </c>
      <c r="G251" s="4" t="s">
        <v>21</v>
      </c>
      <c r="H251" s="4">
        <v>3</v>
      </c>
      <c r="I251" s="4">
        <v>89.99</v>
      </c>
      <c r="J251" s="4" t="s">
        <v>59</v>
      </c>
      <c r="K251" s="4" t="s">
        <v>42</v>
      </c>
      <c r="L251" s="4" t="s">
        <v>29</v>
      </c>
      <c r="M251" s="5">
        <v>44878</v>
      </c>
      <c r="N251" s="4">
        <v>269.97000000000003</v>
      </c>
    </row>
    <row r="252" spans="1:14" ht="15.75" customHeight="1" x14ac:dyDescent="0.3"/>
    <row r="253" spans="1:14" ht="15.75" customHeight="1" x14ac:dyDescent="0.3"/>
    <row r="254" spans="1:14" ht="15.75" customHeight="1" x14ac:dyDescent="0.3"/>
    <row r="255" spans="1:14" ht="15.75" customHeight="1" x14ac:dyDescent="0.3"/>
    <row r="256" spans="1: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56B4B-4EB5-4072-AF79-B80633D828CF}">
  <dimension ref="A1:U251"/>
  <sheetViews>
    <sheetView workbookViewId="0">
      <selection activeCell="H1" sqref="H1:U1"/>
    </sheetView>
  </sheetViews>
  <sheetFormatPr defaultRowHeight="14.4" x14ac:dyDescent="0.3"/>
  <cols>
    <col min="1" max="1" width="14.88671875" customWidth="1"/>
    <col min="2" max="2" width="10.88671875" customWidth="1"/>
    <col min="5" max="5" width="10.44140625" bestFit="1" customWidth="1"/>
    <col min="6" max="6" width="15.5546875" bestFit="1" customWidth="1"/>
  </cols>
  <sheetData>
    <row r="1" spans="1:21" x14ac:dyDescent="0.3">
      <c r="A1" s="27" t="s">
        <v>14</v>
      </c>
      <c r="B1" s="27" t="s">
        <v>3</v>
      </c>
      <c r="C1" s="23" t="s">
        <v>422</v>
      </c>
      <c r="D1" s="23" t="s">
        <v>423</v>
      </c>
      <c r="E1" s="23" t="s">
        <v>424</v>
      </c>
      <c r="F1" s="23" t="s">
        <v>425</v>
      </c>
      <c r="H1" s="43" t="s">
        <v>426</v>
      </c>
      <c r="I1" s="44"/>
      <c r="J1" s="44"/>
      <c r="K1" s="44"/>
      <c r="L1" s="44"/>
      <c r="M1" s="44"/>
      <c r="N1" s="44"/>
      <c r="O1" s="44"/>
      <c r="P1" s="44"/>
      <c r="Q1" s="44"/>
      <c r="R1" s="44"/>
      <c r="S1" s="44"/>
      <c r="T1" s="44"/>
      <c r="U1" s="44"/>
    </row>
    <row r="2" spans="1:21" x14ac:dyDescent="0.3">
      <c r="A2" s="28">
        <v>44425</v>
      </c>
      <c r="B2" s="28">
        <v>45393</v>
      </c>
      <c r="C2">
        <f>DATEDIF(A2,B2,"m")</f>
        <v>31</v>
      </c>
      <c r="D2">
        <f>EOMONTH(B2,MONTH(B2))</f>
        <v>45535</v>
      </c>
      <c r="E2" s="25">
        <f ca="1">TODAY()</f>
        <v>45971</v>
      </c>
      <c r="F2" s="26">
        <f ca="1">NOW()</f>
        <v>45971.845883680558</v>
      </c>
    </row>
    <row r="3" spans="1:21" x14ac:dyDescent="0.3">
      <c r="A3" s="28">
        <v>44575</v>
      </c>
      <c r="B3" s="28">
        <v>45396</v>
      </c>
      <c r="C3">
        <f t="shared" ref="C3:C66" si="0">DATEDIF(A3,B3,"m")</f>
        <v>27</v>
      </c>
      <c r="D3">
        <f t="shared" ref="D3:D66" si="1">EOMONTH(B3,MONTH(B3))</f>
        <v>45535</v>
      </c>
    </row>
    <row r="4" spans="1:21" x14ac:dyDescent="0.3">
      <c r="A4" s="28">
        <v>45262</v>
      </c>
      <c r="B4" s="28">
        <v>45399</v>
      </c>
      <c r="C4">
        <f t="shared" si="0"/>
        <v>4</v>
      </c>
      <c r="D4">
        <f t="shared" si="1"/>
        <v>45535</v>
      </c>
    </row>
    <row r="5" spans="1:21" x14ac:dyDescent="0.3">
      <c r="A5" s="28">
        <v>45114</v>
      </c>
      <c r="B5" s="28">
        <v>45400</v>
      </c>
      <c r="C5">
        <f t="shared" si="0"/>
        <v>9</v>
      </c>
      <c r="D5">
        <f t="shared" si="1"/>
        <v>45535</v>
      </c>
    </row>
    <row r="6" spans="1:21" x14ac:dyDescent="0.3">
      <c r="A6" s="28">
        <v>45295</v>
      </c>
      <c r="B6" s="28">
        <v>45400</v>
      </c>
      <c r="C6">
        <f t="shared" si="0"/>
        <v>3</v>
      </c>
      <c r="D6">
        <f t="shared" si="1"/>
        <v>45535</v>
      </c>
    </row>
    <row r="7" spans="1:21" x14ac:dyDescent="0.3">
      <c r="A7" s="28">
        <v>44746</v>
      </c>
      <c r="B7" s="28">
        <v>45403</v>
      </c>
      <c r="C7">
        <f t="shared" si="0"/>
        <v>21</v>
      </c>
      <c r="D7">
        <f t="shared" si="1"/>
        <v>45535</v>
      </c>
    </row>
    <row r="8" spans="1:21" x14ac:dyDescent="0.3">
      <c r="A8" s="28">
        <v>44418</v>
      </c>
      <c r="B8" s="28">
        <v>45403</v>
      </c>
      <c r="C8">
        <f t="shared" si="0"/>
        <v>32</v>
      </c>
      <c r="D8">
        <f t="shared" si="1"/>
        <v>45535</v>
      </c>
    </row>
    <row r="9" spans="1:21" x14ac:dyDescent="0.3">
      <c r="A9" s="28">
        <v>45007</v>
      </c>
      <c r="B9" s="28">
        <v>45403</v>
      </c>
      <c r="C9">
        <f t="shared" si="0"/>
        <v>12</v>
      </c>
      <c r="D9">
        <f t="shared" si="1"/>
        <v>45535</v>
      </c>
    </row>
    <row r="10" spans="1:21" x14ac:dyDescent="0.3">
      <c r="A10" s="28">
        <v>45299</v>
      </c>
      <c r="B10" s="28">
        <v>45405</v>
      </c>
      <c r="C10">
        <f t="shared" si="0"/>
        <v>3</v>
      </c>
      <c r="D10">
        <f t="shared" si="1"/>
        <v>45535</v>
      </c>
    </row>
    <row r="11" spans="1:21" x14ac:dyDescent="0.3">
      <c r="A11" s="28">
        <v>45207</v>
      </c>
      <c r="B11" s="28">
        <v>45408</v>
      </c>
      <c r="C11">
        <f t="shared" si="0"/>
        <v>6</v>
      </c>
      <c r="D11">
        <f t="shared" si="1"/>
        <v>45535</v>
      </c>
    </row>
    <row r="12" spans="1:21" x14ac:dyDescent="0.3">
      <c r="A12" s="28">
        <v>45103</v>
      </c>
      <c r="B12" s="28">
        <v>45408</v>
      </c>
      <c r="C12">
        <f t="shared" si="0"/>
        <v>10</v>
      </c>
      <c r="D12">
        <f t="shared" si="1"/>
        <v>45535</v>
      </c>
    </row>
    <row r="13" spans="1:21" x14ac:dyDescent="0.3">
      <c r="A13" s="28">
        <v>44830</v>
      </c>
      <c r="B13" s="28">
        <v>45408</v>
      </c>
      <c r="C13">
        <f t="shared" si="0"/>
        <v>19</v>
      </c>
      <c r="D13">
        <f t="shared" si="1"/>
        <v>45535</v>
      </c>
    </row>
    <row r="14" spans="1:21" x14ac:dyDescent="0.3">
      <c r="A14" s="28">
        <v>44806</v>
      </c>
      <c r="B14" s="28">
        <v>45408</v>
      </c>
      <c r="C14">
        <f t="shared" si="0"/>
        <v>19</v>
      </c>
      <c r="D14">
        <f t="shared" si="1"/>
        <v>45535</v>
      </c>
    </row>
    <row r="15" spans="1:21" x14ac:dyDescent="0.3">
      <c r="A15" s="28">
        <v>45351</v>
      </c>
      <c r="B15" s="28">
        <v>45409</v>
      </c>
      <c r="C15">
        <f t="shared" si="0"/>
        <v>1</v>
      </c>
      <c r="D15">
        <f t="shared" si="1"/>
        <v>45535</v>
      </c>
    </row>
    <row r="16" spans="1:21" x14ac:dyDescent="0.3">
      <c r="A16" s="28">
        <v>44577</v>
      </c>
      <c r="B16" s="28">
        <v>45409</v>
      </c>
      <c r="C16">
        <f t="shared" si="0"/>
        <v>27</v>
      </c>
      <c r="D16">
        <f t="shared" si="1"/>
        <v>45535</v>
      </c>
    </row>
    <row r="17" spans="1:4" x14ac:dyDescent="0.3">
      <c r="A17" s="28">
        <v>44920</v>
      </c>
      <c r="B17" s="28">
        <v>45409</v>
      </c>
      <c r="C17">
        <f t="shared" si="0"/>
        <v>16</v>
      </c>
      <c r="D17">
        <f t="shared" si="1"/>
        <v>45535</v>
      </c>
    </row>
    <row r="18" spans="1:4" x14ac:dyDescent="0.3">
      <c r="A18" s="28">
        <v>45374</v>
      </c>
      <c r="B18" s="28">
        <v>45410</v>
      </c>
      <c r="C18">
        <f t="shared" si="0"/>
        <v>1</v>
      </c>
      <c r="D18">
        <f t="shared" si="1"/>
        <v>45535</v>
      </c>
    </row>
    <row r="19" spans="1:4" x14ac:dyDescent="0.3">
      <c r="A19" s="28">
        <v>44781</v>
      </c>
      <c r="B19" s="28">
        <v>45410</v>
      </c>
      <c r="C19">
        <f t="shared" si="0"/>
        <v>20</v>
      </c>
      <c r="D19">
        <f t="shared" si="1"/>
        <v>45535</v>
      </c>
    </row>
    <row r="20" spans="1:4" x14ac:dyDescent="0.3">
      <c r="A20" s="28">
        <v>45327</v>
      </c>
      <c r="B20" s="28">
        <v>45410</v>
      </c>
      <c r="C20">
        <f t="shared" si="0"/>
        <v>2</v>
      </c>
      <c r="D20">
        <f t="shared" si="1"/>
        <v>45535</v>
      </c>
    </row>
    <row r="21" spans="1:4" x14ac:dyDescent="0.3">
      <c r="A21" s="28">
        <v>45224</v>
      </c>
      <c r="B21" s="28">
        <v>45410</v>
      </c>
      <c r="C21">
        <f t="shared" si="0"/>
        <v>6</v>
      </c>
      <c r="D21">
        <f t="shared" si="1"/>
        <v>45535</v>
      </c>
    </row>
    <row r="22" spans="1:4" x14ac:dyDescent="0.3">
      <c r="A22" s="28">
        <v>45167</v>
      </c>
      <c r="B22" s="28">
        <v>45412</v>
      </c>
      <c r="C22">
        <f t="shared" si="0"/>
        <v>8</v>
      </c>
      <c r="D22">
        <f t="shared" si="1"/>
        <v>45535</v>
      </c>
    </row>
    <row r="23" spans="1:4" x14ac:dyDescent="0.3">
      <c r="A23" s="28">
        <v>44409</v>
      </c>
      <c r="B23" s="28">
        <v>45413</v>
      </c>
      <c r="C23">
        <f t="shared" si="0"/>
        <v>33</v>
      </c>
      <c r="D23">
        <f t="shared" si="1"/>
        <v>45596</v>
      </c>
    </row>
    <row r="24" spans="1:4" x14ac:dyDescent="0.3">
      <c r="A24" s="28">
        <v>44468</v>
      </c>
      <c r="B24" s="28">
        <v>45415</v>
      </c>
      <c r="C24">
        <f t="shared" si="0"/>
        <v>31</v>
      </c>
      <c r="D24">
        <f t="shared" si="1"/>
        <v>45596</v>
      </c>
    </row>
    <row r="25" spans="1:4" x14ac:dyDescent="0.3">
      <c r="A25" s="28">
        <v>44716</v>
      </c>
      <c r="B25" s="28">
        <v>45416</v>
      </c>
      <c r="C25">
        <f t="shared" si="0"/>
        <v>23</v>
      </c>
      <c r="D25">
        <f t="shared" si="1"/>
        <v>45596</v>
      </c>
    </row>
    <row r="26" spans="1:4" x14ac:dyDescent="0.3">
      <c r="A26" s="28">
        <v>44525</v>
      </c>
      <c r="B26" s="28">
        <v>45422</v>
      </c>
      <c r="C26">
        <f t="shared" si="0"/>
        <v>29</v>
      </c>
      <c r="D26">
        <f t="shared" si="1"/>
        <v>45596</v>
      </c>
    </row>
    <row r="27" spans="1:4" x14ac:dyDescent="0.3">
      <c r="A27" s="28">
        <v>45168</v>
      </c>
      <c r="B27" s="28">
        <v>45424</v>
      </c>
      <c r="C27">
        <f t="shared" si="0"/>
        <v>8</v>
      </c>
      <c r="D27">
        <f t="shared" si="1"/>
        <v>45596</v>
      </c>
    </row>
    <row r="28" spans="1:4" x14ac:dyDescent="0.3">
      <c r="A28" s="28">
        <v>45012</v>
      </c>
      <c r="B28" s="28">
        <v>45424</v>
      </c>
      <c r="C28">
        <f t="shared" si="0"/>
        <v>13</v>
      </c>
      <c r="D28">
        <f t="shared" si="1"/>
        <v>45596</v>
      </c>
    </row>
    <row r="29" spans="1:4" x14ac:dyDescent="0.3">
      <c r="A29" s="28">
        <v>44919</v>
      </c>
      <c r="B29" s="28">
        <v>45424</v>
      </c>
      <c r="C29">
        <f t="shared" si="0"/>
        <v>16</v>
      </c>
      <c r="D29">
        <f t="shared" si="1"/>
        <v>45596</v>
      </c>
    </row>
    <row r="30" spans="1:4" x14ac:dyDescent="0.3">
      <c r="A30" s="28">
        <v>45214</v>
      </c>
      <c r="B30" s="28">
        <v>45425</v>
      </c>
      <c r="C30">
        <f t="shared" si="0"/>
        <v>6</v>
      </c>
      <c r="D30">
        <f t="shared" si="1"/>
        <v>45596</v>
      </c>
    </row>
    <row r="31" spans="1:4" x14ac:dyDescent="0.3">
      <c r="A31" s="28">
        <v>44867</v>
      </c>
      <c r="B31" s="28">
        <v>45427</v>
      </c>
      <c r="C31">
        <f t="shared" si="0"/>
        <v>18</v>
      </c>
      <c r="D31">
        <f t="shared" si="1"/>
        <v>45596</v>
      </c>
    </row>
    <row r="32" spans="1:4" x14ac:dyDescent="0.3">
      <c r="A32" s="28">
        <v>44412</v>
      </c>
      <c r="B32" s="28">
        <v>45427</v>
      </c>
      <c r="C32">
        <f t="shared" si="0"/>
        <v>33</v>
      </c>
      <c r="D32">
        <f t="shared" si="1"/>
        <v>45596</v>
      </c>
    </row>
    <row r="33" spans="1:4" x14ac:dyDescent="0.3">
      <c r="A33" s="28">
        <v>44823</v>
      </c>
      <c r="B33" s="28">
        <v>45428</v>
      </c>
      <c r="C33">
        <f t="shared" si="0"/>
        <v>19</v>
      </c>
      <c r="D33">
        <f t="shared" si="1"/>
        <v>45596</v>
      </c>
    </row>
    <row r="34" spans="1:4" x14ac:dyDescent="0.3">
      <c r="A34" s="28">
        <v>45068</v>
      </c>
      <c r="B34" s="28">
        <v>45430</v>
      </c>
      <c r="C34">
        <f t="shared" si="0"/>
        <v>11</v>
      </c>
      <c r="D34">
        <f t="shared" si="1"/>
        <v>45596</v>
      </c>
    </row>
    <row r="35" spans="1:4" x14ac:dyDescent="0.3">
      <c r="A35" s="28">
        <v>44578</v>
      </c>
      <c r="B35" s="28">
        <v>45432</v>
      </c>
      <c r="C35">
        <f t="shared" si="0"/>
        <v>28</v>
      </c>
      <c r="D35">
        <f t="shared" si="1"/>
        <v>45596</v>
      </c>
    </row>
    <row r="36" spans="1:4" x14ac:dyDescent="0.3">
      <c r="A36" s="28">
        <v>44824</v>
      </c>
      <c r="B36" s="28">
        <v>45434</v>
      </c>
      <c r="C36">
        <f t="shared" si="0"/>
        <v>20</v>
      </c>
      <c r="D36">
        <f t="shared" si="1"/>
        <v>45596</v>
      </c>
    </row>
    <row r="37" spans="1:4" x14ac:dyDescent="0.3">
      <c r="A37" s="28">
        <v>45046</v>
      </c>
      <c r="B37" s="28">
        <v>45435</v>
      </c>
      <c r="C37">
        <f t="shared" si="0"/>
        <v>12</v>
      </c>
      <c r="D37">
        <f t="shared" si="1"/>
        <v>45596</v>
      </c>
    </row>
    <row r="38" spans="1:4" x14ac:dyDescent="0.3">
      <c r="A38" s="28">
        <v>45292</v>
      </c>
      <c r="B38" s="28">
        <v>45438</v>
      </c>
      <c r="C38">
        <f t="shared" si="0"/>
        <v>4</v>
      </c>
      <c r="D38">
        <f t="shared" si="1"/>
        <v>45596</v>
      </c>
    </row>
    <row r="39" spans="1:4" x14ac:dyDescent="0.3">
      <c r="A39" s="28">
        <v>44407</v>
      </c>
      <c r="B39" s="28">
        <v>45440</v>
      </c>
      <c r="C39">
        <f t="shared" si="0"/>
        <v>33</v>
      </c>
      <c r="D39">
        <f t="shared" si="1"/>
        <v>45596</v>
      </c>
    </row>
    <row r="40" spans="1:4" x14ac:dyDescent="0.3">
      <c r="A40" s="28">
        <v>45120</v>
      </c>
      <c r="B40" s="28">
        <v>45441</v>
      </c>
      <c r="C40">
        <f t="shared" si="0"/>
        <v>10</v>
      </c>
      <c r="D40">
        <f t="shared" si="1"/>
        <v>45596</v>
      </c>
    </row>
    <row r="41" spans="1:4" x14ac:dyDescent="0.3">
      <c r="A41" s="28">
        <v>44917</v>
      </c>
      <c r="B41" s="28">
        <v>45443</v>
      </c>
      <c r="C41">
        <f t="shared" si="0"/>
        <v>17</v>
      </c>
      <c r="D41">
        <f t="shared" si="1"/>
        <v>45596</v>
      </c>
    </row>
    <row r="42" spans="1:4" x14ac:dyDescent="0.3">
      <c r="A42" s="28">
        <v>45390</v>
      </c>
      <c r="B42" s="28">
        <v>45444</v>
      </c>
      <c r="C42">
        <f t="shared" si="0"/>
        <v>1</v>
      </c>
      <c r="D42">
        <f t="shared" si="1"/>
        <v>45657</v>
      </c>
    </row>
    <row r="43" spans="1:4" x14ac:dyDescent="0.3">
      <c r="A43" s="28">
        <v>45141</v>
      </c>
      <c r="B43" s="28">
        <v>45444</v>
      </c>
      <c r="C43">
        <f t="shared" si="0"/>
        <v>9</v>
      </c>
      <c r="D43">
        <f t="shared" si="1"/>
        <v>45657</v>
      </c>
    </row>
    <row r="44" spans="1:4" x14ac:dyDescent="0.3">
      <c r="A44" s="28">
        <v>44587</v>
      </c>
      <c r="B44" s="28">
        <v>45446</v>
      </c>
      <c r="C44">
        <f t="shared" si="0"/>
        <v>28</v>
      </c>
      <c r="D44">
        <f t="shared" si="1"/>
        <v>45657</v>
      </c>
    </row>
    <row r="45" spans="1:4" x14ac:dyDescent="0.3">
      <c r="A45" s="28">
        <v>44707</v>
      </c>
      <c r="B45" s="28">
        <v>45449</v>
      </c>
      <c r="C45">
        <f t="shared" si="0"/>
        <v>24</v>
      </c>
      <c r="D45">
        <f t="shared" si="1"/>
        <v>45657</v>
      </c>
    </row>
    <row r="46" spans="1:4" x14ac:dyDescent="0.3">
      <c r="A46" s="28">
        <v>44582</v>
      </c>
      <c r="B46" s="28">
        <v>45449</v>
      </c>
      <c r="C46">
        <f t="shared" si="0"/>
        <v>28</v>
      </c>
      <c r="D46">
        <f t="shared" si="1"/>
        <v>45657</v>
      </c>
    </row>
    <row r="47" spans="1:4" x14ac:dyDescent="0.3">
      <c r="A47" s="28">
        <v>44645</v>
      </c>
      <c r="B47" s="28">
        <v>45450</v>
      </c>
      <c r="C47">
        <f t="shared" si="0"/>
        <v>26</v>
      </c>
      <c r="D47">
        <f t="shared" si="1"/>
        <v>45657</v>
      </c>
    </row>
    <row r="48" spans="1:4" x14ac:dyDescent="0.3">
      <c r="A48" s="28">
        <v>44435</v>
      </c>
      <c r="B48" s="28">
        <v>45452</v>
      </c>
      <c r="C48">
        <f t="shared" si="0"/>
        <v>33</v>
      </c>
      <c r="D48">
        <f t="shared" si="1"/>
        <v>45657</v>
      </c>
    </row>
    <row r="49" spans="1:4" x14ac:dyDescent="0.3">
      <c r="A49" s="28">
        <v>44579</v>
      </c>
      <c r="B49" s="28">
        <v>45456</v>
      </c>
      <c r="C49">
        <f t="shared" si="0"/>
        <v>28</v>
      </c>
      <c r="D49">
        <f t="shared" si="1"/>
        <v>45657</v>
      </c>
    </row>
    <row r="50" spans="1:4" x14ac:dyDescent="0.3">
      <c r="A50" s="28">
        <v>44471</v>
      </c>
      <c r="B50" s="28">
        <v>45459</v>
      </c>
      <c r="C50">
        <f t="shared" si="0"/>
        <v>32</v>
      </c>
      <c r="D50">
        <f t="shared" si="1"/>
        <v>45657</v>
      </c>
    </row>
    <row r="51" spans="1:4" x14ac:dyDescent="0.3">
      <c r="A51" s="28">
        <v>44974</v>
      </c>
      <c r="B51" s="28">
        <v>45459</v>
      </c>
      <c r="C51">
        <f t="shared" si="0"/>
        <v>15</v>
      </c>
      <c r="D51">
        <f t="shared" si="1"/>
        <v>45657</v>
      </c>
    </row>
    <row r="52" spans="1:4" x14ac:dyDescent="0.3">
      <c r="A52" s="28">
        <v>45278</v>
      </c>
      <c r="B52" s="28">
        <v>45459</v>
      </c>
      <c r="C52">
        <f t="shared" si="0"/>
        <v>5</v>
      </c>
      <c r="D52">
        <f t="shared" si="1"/>
        <v>45657</v>
      </c>
    </row>
    <row r="53" spans="1:4" x14ac:dyDescent="0.3">
      <c r="A53" s="28">
        <v>45190</v>
      </c>
      <c r="B53" s="28">
        <v>45460</v>
      </c>
      <c r="C53">
        <f t="shared" si="0"/>
        <v>8</v>
      </c>
      <c r="D53">
        <f t="shared" si="1"/>
        <v>45657</v>
      </c>
    </row>
    <row r="54" spans="1:4" x14ac:dyDescent="0.3">
      <c r="A54" s="28">
        <v>45253</v>
      </c>
      <c r="B54" s="28">
        <v>45460</v>
      </c>
      <c r="C54">
        <f t="shared" si="0"/>
        <v>6</v>
      </c>
      <c r="D54">
        <f t="shared" si="1"/>
        <v>45657</v>
      </c>
    </row>
    <row r="55" spans="1:4" x14ac:dyDescent="0.3">
      <c r="A55" s="28">
        <v>45281</v>
      </c>
      <c r="B55" s="28">
        <v>45468</v>
      </c>
      <c r="C55">
        <f t="shared" si="0"/>
        <v>6</v>
      </c>
      <c r="D55">
        <f t="shared" si="1"/>
        <v>45657</v>
      </c>
    </row>
    <row r="56" spans="1:4" x14ac:dyDescent="0.3">
      <c r="A56" s="28">
        <v>45352</v>
      </c>
      <c r="B56" s="28">
        <v>45469</v>
      </c>
      <c r="C56">
        <f t="shared" si="0"/>
        <v>3</v>
      </c>
      <c r="D56">
        <f t="shared" si="1"/>
        <v>45657</v>
      </c>
    </row>
    <row r="57" spans="1:4" x14ac:dyDescent="0.3">
      <c r="A57" s="28">
        <v>44438</v>
      </c>
      <c r="B57" s="28">
        <v>45469</v>
      </c>
      <c r="C57">
        <f t="shared" si="0"/>
        <v>33</v>
      </c>
      <c r="D57">
        <f t="shared" si="1"/>
        <v>45657</v>
      </c>
    </row>
    <row r="58" spans="1:4" x14ac:dyDescent="0.3">
      <c r="A58" s="28">
        <v>45102</v>
      </c>
      <c r="B58" s="28">
        <v>45471</v>
      </c>
      <c r="C58">
        <f t="shared" si="0"/>
        <v>12</v>
      </c>
      <c r="D58">
        <f t="shared" si="1"/>
        <v>45657</v>
      </c>
    </row>
    <row r="59" spans="1:4" x14ac:dyDescent="0.3">
      <c r="A59" s="28">
        <v>44993</v>
      </c>
      <c r="B59" s="28">
        <v>45471</v>
      </c>
      <c r="C59">
        <f t="shared" si="0"/>
        <v>15</v>
      </c>
      <c r="D59">
        <f t="shared" si="1"/>
        <v>45657</v>
      </c>
    </row>
    <row r="60" spans="1:4" x14ac:dyDescent="0.3">
      <c r="A60" s="28">
        <v>44851</v>
      </c>
      <c r="B60" s="28">
        <v>45472</v>
      </c>
      <c r="C60">
        <f t="shared" si="0"/>
        <v>20</v>
      </c>
      <c r="D60">
        <f t="shared" si="1"/>
        <v>45657</v>
      </c>
    </row>
    <row r="61" spans="1:4" x14ac:dyDescent="0.3">
      <c r="A61" s="28">
        <v>45275</v>
      </c>
      <c r="B61" s="28">
        <v>45474</v>
      </c>
      <c r="C61">
        <f t="shared" si="0"/>
        <v>6</v>
      </c>
      <c r="D61">
        <f t="shared" si="1"/>
        <v>45716</v>
      </c>
    </row>
    <row r="62" spans="1:4" x14ac:dyDescent="0.3">
      <c r="A62" s="28">
        <v>44802</v>
      </c>
      <c r="B62" s="28">
        <v>45475</v>
      </c>
      <c r="C62">
        <f t="shared" si="0"/>
        <v>22</v>
      </c>
      <c r="D62">
        <f t="shared" si="1"/>
        <v>45716</v>
      </c>
    </row>
    <row r="63" spans="1:4" x14ac:dyDescent="0.3">
      <c r="A63" s="28">
        <v>44611</v>
      </c>
      <c r="B63" s="28">
        <v>45476</v>
      </c>
      <c r="C63">
        <f t="shared" si="0"/>
        <v>28</v>
      </c>
      <c r="D63">
        <f t="shared" si="1"/>
        <v>45716</v>
      </c>
    </row>
    <row r="64" spans="1:4" x14ac:dyDescent="0.3">
      <c r="A64" s="28">
        <v>44981</v>
      </c>
      <c r="B64" s="28">
        <v>45476</v>
      </c>
      <c r="C64">
        <f t="shared" si="0"/>
        <v>16</v>
      </c>
      <c r="D64">
        <f t="shared" si="1"/>
        <v>45716</v>
      </c>
    </row>
    <row r="65" spans="1:4" x14ac:dyDescent="0.3">
      <c r="A65" s="28">
        <v>44421</v>
      </c>
      <c r="B65" s="28">
        <v>45481</v>
      </c>
      <c r="C65">
        <f t="shared" si="0"/>
        <v>34</v>
      </c>
      <c r="D65">
        <f t="shared" si="1"/>
        <v>45716</v>
      </c>
    </row>
    <row r="66" spans="1:4" x14ac:dyDescent="0.3">
      <c r="A66" s="28">
        <v>45389</v>
      </c>
      <c r="B66" s="28">
        <v>45481</v>
      </c>
      <c r="C66">
        <f t="shared" si="0"/>
        <v>3</v>
      </c>
      <c r="D66">
        <f t="shared" si="1"/>
        <v>45716</v>
      </c>
    </row>
    <row r="67" spans="1:4" x14ac:dyDescent="0.3">
      <c r="A67" s="28">
        <v>45161</v>
      </c>
      <c r="B67" s="28">
        <v>45481</v>
      </c>
      <c r="C67">
        <f t="shared" ref="C67:C130" si="2">DATEDIF(A67,B67,"m")</f>
        <v>10</v>
      </c>
      <c r="D67">
        <f t="shared" ref="D67:D130" si="3">EOMONTH(B67,MONTH(B67))</f>
        <v>45716</v>
      </c>
    </row>
    <row r="68" spans="1:4" x14ac:dyDescent="0.3">
      <c r="A68" s="28">
        <v>44509</v>
      </c>
      <c r="B68" s="28">
        <v>45482</v>
      </c>
      <c r="C68">
        <f t="shared" si="2"/>
        <v>32</v>
      </c>
      <c r="D68">
        <f t="shared" si="3"/>
        <v>45716</v>
      </c>
    </row>
    <row r="69" spans="1:4" x14ac:dyDescent="0.3">
      <c r="A69" s="28">
        <v>44909</v>
      </c>
      <c r="B69" s="28">
        <v>45484</v>
      </c>
      <c r="C69">
        <f t="shared" si="2"/>
        <v>18</v>
      </c>
      <c r="D69">
        <f t="shared" si="3"/>
        <v>45716</v>
      </c>
    </row>
    <row r="70" spans="1:4" x14ac:dyDescent="0.3">
      <c r="A70" s="28">
        <v>44891</v>
      </c>
      <c r="B70" s="28">
        <v>45484</v>
      </c>
      <c r="C70">
        <f t="shared" si="2"/>
        <v>19</v>
      </c>
      <c r="D70">
        <f t="shared" si="3"/>
        <v>45716</v>
      </c>
    </row>
    <row r="71" spans="1:4" x14ac:dyDescent="0.3">
      <c r="A71" s="28">
        <v>44541</v>
      </c>
      <c r="B71" s="28">
        <v>45487</v>
      </c>
      <c r="C71">
        <f t="shared" si="2"/>
        <v>31</v>
      </c>
      <c r="D71">
        <f t="shared" si="3"/>
        <v>45716</v>
      </c>
    </row>
    <row r="72" spans="1:4" x14ac:dyDescent="0.3">
      <c r="A72" s="28">
        <v>45130</v>
      </c>
      <c r="B72" s="28">
        <v>45490</v>
      </c>
      <c r="C72">
        <f t="shared" si="2"/>
        <v>11</v>
      </c>
      <c r="D72">
        <f t="shared" si="3"/>
        <v>45716</v>
      </c>
    </row>
    <row r="73" spans="1:4" x14ac:dyDescent="0.3">
      <c r="A73" s="28">
        <v>45199</v>
      </c>
      <c r="B73" s="28">
        <v>45490</v>
      </c>
      <c r="C73">
        <f t="shared" si="2"/>
        <v>9</v>
      </c>
      <c r="D73">
        <f t="shared" si="3"/>
        <v>45716</v>
      </c>
    </row>
    <row r="74" spans="1:4" x14ac:dyDescent="0.3">
      <c r="A74" s="28">
        <v>45254</v>
      </c>
      <c r="B74" s="28">
        <v>45491</v>
      </c>
      <c r="C74">
        <f t="shared" si="2"/>
        <v>7</v>
      </c>
      <c r="D74">
        <f t="shared" si="3"/>
        <v>45716</v>
      </c>
    </row>
    <row r="75" spans="1:4" x14ac:dyDescent="0.3">
      <c r="A75" s="28">
        <v>45179</v>
      </c>
      <c r="B75" s="28">
        <v>45496</v>
      </c>
      <c r="C75">
        <f t="shared" si="2"/>
        <v>10</v>
      </c>
      <c r="D75">
        <f t="shared" si="3"/>
        <v>45716</v>
      </c>
    </row>
    <row r="76" spans="1:4" x14ac:dyDescent="0.3">
      <c r="A76" s="28">
        <v>44899</v>
      </c>
      <c r="B76" s="28">
        <v>45497</v>
      </c>
      <c r="C76">
        <f t="shared" si="2"/>
        <v>19</v>
      </c>
      <c r="D76">
        <f t="shared" si="3"/>
        <v>45716</v>
      </c>
    </row>
    <row r="77" spans="1:4" x14ac:dyDescent="0.3">
      <c r="A77" s="28">
        <v>45152</v>
      </c>
      <c r="B77" s="28">
        <v>45498</v>
      </c>
      <c r="C77">
        <f t="shared" si="2"/>
        <v>11</v>
      </c>
      <c r="D77">
        <f t="shared" si="3"/>
        <v>45716</v>
      </c>
    </row>
    <row r="78" spans="1:4" x14ac:dyDescent="0.3">
      <c r="A78" s="28">
        <v>45127</v>
      </c>
      <c r="B78" s="28">
        <v>45498</v>
      </c>
      <c r="C78">
        <f t="shared" si="2"/>
        <v>12</v>
      </c>
      <c r="D78">
        <f t="shared" si="3"/>
        <v>45716</v>
      </c>
    </row>
    <row r="79" spans="1:4" x14ac:dyDescent="0.3">
      <c r="A79" s="28">
        <v>45164</v>
      </c>
      <c r="B79" s="28">
        <v>45500</v>
      </c>
      <c r="C79">
        <f t="shared" si="2"/>
        <v>11</v>
      </c>
      <c r="D79">
        <f t="shared" si="3"/>
        <v>45716</v>
      </c>
    </row>
    <row r="80" spans="1:4" x14ac:dyDescent="0.3">
      <c r="A80" s="28">
        <v>44982</v>
      </c>
      <c r="B80" s="28">
        <v>45500</v>
      </c>
      <c r="C80">
        <f t="shared" si="2"/>
        <v>17</v>
      </c>
      <c r="D80">
        <f t="shared" si="3"/>
        <v>45716</v>
      </c>
    </row>
    <row r="81" spans="1:4" x14ac:dyDescent="0.3">
      <c r="A81" s="28">
        <v>44976</v>
      </c>
      <c r="B81" s="28">
        <v>45501</v>
      </c>
      <c r="C81">
        <f t="shared" si="2"/>
        <v>17</v>
      </c>
      <c r="D81">
        <f t="shared" si="3"/>
        <v>45716</v>
      </c>
    </row>
    <row r="82" spans="1:4" x14ac:dyDescent="0.3">
      <c r="A82" s="28">
        <v>44732</v>
      </c>
      <c r="B82" s="28">
        <v>45501</v>
      </c>
      <c r="C82">
        <f t="shared" si="2"/>
        <v>25</v>
      </c>
      <c r="D82">
        <f t="shared" si="3"/>
        <v>45716</v>
      </c>
    </row>
    <row r="83" spans="1:4" x14ac:dyDescent="0.3">
      <c r="A83" s="28">
        <v>44999</v>
      </c>
      <c r="B83" s="28">
        <v>45503</v>
      </c>
      <c r="C83">
        <f t="shared" si="2"/>
        <v>16</v>
      </c>
      <c r="D83">
        <f t="shared" si="3"/>
        <v>45716</v>
      </c>
    </row>
    <row r="84" spans="1:4" x14ac:dyDescent="0.3">
      <c r="A84" s="28">
        <v>44523</v>
      </c>
      <c r="B84" s="28">
        <v>45504</v>
      </c>
      <c r="C84">
        <f t="shared" si="2"/>
        <v>32</v>
      </c>
      <c r="D84">
        <f t="shared" si="3"/>
        <v>45716</v>
      </c>
    </row>
    <row r="85" spans="1:4" x14ac:dyDescent="0.3">
      <c r="A85" s="28">
        <v>44542</v>
      </c>
      <c r="B85" s="28">
        <v>45509</v>
      </c>
      <c r="C85">
        <f t="shared" si="2"/>
        <v>31</v>
      </c>
      <c r="D85">
        <f t="shared" si="3"/>
        <v>45777</v>
      </c>
    </row>
    <row r="86" spans="1:4" x14ac:dyDescent="0.3">
      <c r="A86" s="28">
        <v>44667</v>
      </c>
      <c r="B86" s="28">
        <v>45510</v>
      </c>
      <c r="C86">
        <f t="shared" si="2"/>
        <v>27</v>
      </c>
      <c r="D86">
        <f t="shared" si="3"/>
        <v>45777</v>
      </c>
    </row>
    <row r="87" spans="1:4" x14ac:dyDescent="0.3">
      <c r="A87" s="28">
        <v>45393</v>
      </c>
      <c r="B87" s="28">
        <v>45513</v>
      </c>
      <c r="C87">
        <f t="shared" si="2"/>
        <v>3</v>
      </c>
      <c r="D87">
        <f t="shared" si="3"/>
        <v>45777</v>
      </c>
    </row>
    <row r="88" spans="1:4" x14ac:dyDescent="0.3">
      <c r="A88" s="28">
        <v>44965</v>
      </c>
      <c r="B88" s="28">
        <v>45515</v>
      </c>
      <c r="C88">
        <f t="shared" si="2"/>
        <v>18</v>
      </c>
      <c r="D88">
        <f t="shared" si="3"/>
        <v>45777</v>
      </c>
    </row>
    <row r="89" spans="1:4" x14ac:dyDescent="0.3">
      <c r="A89" s="28">
        <v>44820</v>
      </c>
      <c r="B89" s="28">
        <v>45517</v>
      </c>
      <c r="C89">
        <f t="shared" si="2"/>
        <v>22</v>
      </c>
      <c r="D89">
        <f t="shared" si="3"/>
        <v>45777</v>
      </c>
    </row>
    <row r="90" spans="1:4" x14ac:dyDescent="0.3">
      <c r="A90" s="28">
        <v>44782</v>
      </c>
      <c r="B90" s="28">
        <v>45517</v>
      </c>
      <c r="C90">
        <f t="shared" si="2"/>
        <v>24</v>
      </c>
      <c r="D90">
        <f t="shared" si="3"/>
        <v>45777</v>
      </c>
    </row>
    <row r="91" spans="1:4" x14ac:dyDescent="0.3">
      <c r="A91" s="28">
        <v>44465</v>
      </c>
      <c r="B91" s="28">
        <v>45517</v>
      </c>
      <c r="C91">
        <f t="shared" si="2"/>
        <v>34</v>
      </c>
      <c r="D91">
        <f t="shared" si="3"/>
        <v>45777</v>
      </c>
    </row>
    <row r="92" spans="1:4" x14ac:dyDescent="0.3">
      <c r="A92" s="28">
        <v>44458</v>
      </c>
      <c r="B92" s="28">
        <v>45517</v>
      </c>
      <c r="C92">
        <f t="shared" si="2"/>
        <v>34</v>
      </c>
      <c r="D92">
        <f t="shared" si="3"/>
        <v>45777</v>
      </c>
    </row>
    <row r="93" spans="1:4" x14ac:dyDescent="0.3">
      <c r="A93" s="28">
        <v>44991</v>
      </c>
      <c r="B93" s="28">
        <v>45519</v>
      </c>
      <c r="C93">
        <f t="shared" si="2"/>
        <v>17</v>
      </c>
      <c r="D93">
        <f t="shared" si="3"/>
        <v>45777</v>
      </c>
    </row>
    <row r="94" spans="1:4" x14ac:dyDescent="0.3">
      <c r="A94" s="28">
        <v>44972</v>
      </c>
      <c r="B94" s="28">
        <v>45522</v>
      </c>
      <c r="C94">
        <f t="shared" si="2"/>
        <v>18</v>
      </c>
      <c r="D94">
        <f t="shared" si="3"/>
        <v>45777</v>
      </c>
    </row>
    <row r="95" spans="1:4" x14ac:dyDescent="0.3">
      <c r="A95" s="28">
        <v>44526</v>
      </c>
      <c r="B95" s="28">
        <v>45523</v>
      </c>
      <c r="C95">
        <f t="shared" si="2"/>
        <v>32</v>
      </c>
      <c r="D95">
        <f t="shared" si="3"/>
        <v>45777</v>
      </c>
    </row>
    <row r="96" spans="1:4" x14ac:dyDescent="0.3">
      <c r="A96" s="28">
        <v>44574</v>
      </c>
      <c r="B96" s="28">
        <v>45523</v>
      </c>
      <c r="C96">
        <f t="shared" si="2"/>
        <v>31</v>
      </c>
      <c r="D96">
        <f t="shared" si="3"/>
        <v>45777</v>
      </c>
    </row>
    <row r="97" spans="1:4" x14ac:dyDescent="0.3">
      <c r="A97" s="28">
        <v>45310</v>
      </c>
      <c r="B97" s="28">
        <v>45526</v>
      </c>
      <c r="C97">
        <f t="shared" si="2"/>
        <v>7</v>
      </c>
      <c r="D97">
        <f t="shared" si="3"/>
        <v>45777</v>
      </c>
    </row>
    <row r="98" spans="1:4" x14ac:dyDescent="0.3">
      <c r="A98" s="28">
        <v>44779</v>
      </c>
      <c r="B98" s="28">
        <v>45528</v>
      </c>
      <c r="C98">
        <f t="shared" si="2"/>
        <v>24</v>
      </c>
      <c r="D98">
        <f t="shared" si="3"/>
        <v>45777</v>
      </c>
    </row>
    <row r="99" spans="1:4" x14ac:dyDescent="0.3">
      <c r="A99" s="28">
        <v>44572</v>
      </c>
      <c r="B99" s="28">
        <v>45528</v>
      </c>
      <c r="C99">
        <f t="shared" si="2"/>
        <v>31</v>
      </c>
      <c r="D99">
        <f t="shared" si="3"/>
        <v>45777</v>
      </c>
    </row>
    <row r="100" spans="1:4" x14ac:dyDescent="0.3">
      <c r="A100" s="28">
        <v>44497</v>
      </c>
      <c r="B100" s="28">
        <v>45532</v>
      </c>
      <c r="C100">
        <f t="shared" si="2"/>
        <v>34</v>
      </c>
      <c r="D100">
        <f t="shared" si="3"/>
        <v>45777</v>
      </c>
    </row>
    <row r="101" spans="1:4" x14ac:dyDescent="0.3">
      <c r="A101" s="28">
        <v>45212</v>
      </c>
      <c r="B101" s="28">
        <v>45532</v>
      </c>
      <c r="C101">
        <f t="shared" si="2"/>
        <v>10</v>
      </c>
      <c r="D101">
        <f t="shared" si="3"/>
        <v>45777</v>
      </c>
    </row>
    <row r="102" spans="1:4" x14ac:dyDescent="0.3">
      <c r="A102" s="28">
        <v>44421</v>
      </c>
      <c r="B102" s="28">
        <v>45534</v>
      </c>
      <c r="C102">
        <f t="shared" si="2"/>
        <v>36</v>
      </c>
      <c r="D102">
        <f t="shared" si="3"/>
        <v>45777</v>
      </c>
    </row>
    <row r="103" spans="1:4" x14ac:dyDescent="0.3">
      <c r="A103" s="28">
        <v>44685</v>
      </c>
      <c r="B103" s="28">
        <v>45537</v>
      </c>
      <c r="C103">
        <f t="shared" si="2"/>
        <v>27</v>
      </c>
      <c r="D103">
        <f t="shared" si="3"/>
        <v>45838</v>
      </c>
    </row>
    <row r="104" spans="1:4" x14ac:dyDescent="0.3">
      <c r="A104" s="28">
        <v>45332</v>
      </c>
      <c r="B104" s="28">
        <v>45537</v>
      </c>
      <c r="C104">
        <f t="shared" si="2"/>
        <v>6</v>
      </c>
      <c r="D104">
        <f t="shared" si="3"/>
        <v>45838</v>
      </c>
    </row>
    <row r="105" spans="1:4" x14ac:dyDescent="0.3">
      <c r="A105" s="28">
        <v>44870</v>
      </c>
      <c r="B105" s="28">
        <v>45538</v>
      </c>
      <c r="C105">
        <f t="shared" si="2"/>
        <v>21</v>
      </c>
      <c r="D105">
        <f t="shared" si="3"/>
        <v>45838</v>
      </c>
    </row>
    <row r="106" spans="1:4" x14ac:dyDescent="0.3">
      <c r="A106" s="28">
        <v>44717</v>
      </c>
      <c r="B106" s="28">
        <v>45541</v>
      </c>
      <c r="C106">
        <f t="shared" si="2"/>
        <v>27</v>
      </c>
      <c r="D106">
        <f t="shared" si="3"/>
        <v>45838</v>
      </c>
    </row>
    <row r="107" spans="1:4" x14ac:dyDescent="0.3">
      <c r="A107" s="28">
        <v>44748</v>
      </c>
      <c r="B107" s="28">
        <v>45544</v>
      </c>
      <c r="C107">
        <f t="shared" si="2"/>
        <v>26</v>
      </c>
      <c r="D107">
        <f t="shared" si="3"/>
        <v>45838</v>
      </c>
    </row>
    <row r="108" spans="1:4" x14ac:dyDescent="0.3">
      <c r="A108" s="28">
        <v>44530</v>
      </c>
      <c r="B108" s="28">
        <v>45544</v>
      </c>
      <c r="C108">
        <f t="shared" si="2"/>
        <v>33</v>
      </c>
      <c r="D108">
        <f t="shared" si="3"/>
        <v>45838</v>
      </c>
    </row>
    <row r="109" spans="1:4" x14ac:dyDescent="0.3">
      <c r="A109" s="28">
        <v>44693</v>
      </c>
      <c r="B109" s="28">
        <v>45545</v>
      </c>
      <c r="C109">
        <f t="shared" si="2"/>
        <v>27</v>
      </c>
      <c r="D109">
        <f t="shared" si="3"/>
        <v>45838</v>
      </c>
    </row>
    <row r="110" spans="1:4" x14ac:dyDescent="0.3">
      <c r="A110" s="28">
        <v>44494</v>
      </c>
      <c r="B110" s="28">
        <v>45547</v>
      </c>
      <c r="C110">
        <f t="shared" si="2"/>
        <v>34</v>
      </c>
      <c r="D110">
        <f t="shared" si="3"/>
        <v>45838</v>
      </c>
    </row>
    <row r="111" spans="1:4" x14ac:dyDescent="0.3">
      <c r="A111" s="28">
        <v>44641</v>
      </c>
      <c r="B111" s="28">
        <v>45548</v>
      </c>
      <c r="C111">
        <f t="shared" si="2"/>
        <v>29</v>
      </c>
      <c r="D111">
        <f t="shared" si="3"/>
        <v>45838</v>
      </c>
    </row>
    <row r="112" spans="1:4" x14ac:dyDescent="0.3">
      <c r="A112" s="28">
        <v>44909</v>
      </c>
      <c r="B112" s="28">
        <v>45550</v>
      </c>
      <c r="C112">
        <f t="shared" si="2"/>
        <v>21</v>
      </c>
      <c r="D112">
        <f t="shared" si="3"/>
        <v>45838</v>
      </c>
    </row>
    <row r="113" spans="1:4" x14ac:dyDescent="0.3">
      <c r="A113" s="28">
        <v>44993</v>
      </c>
      <c r="B113" s="28">
        <v>45551</v>
      </c>
      <c r="C113">
        <f t="shared" si="2"/>
        <v>18</v>
      </c>
      <c r="D113">
        <f t="shared" si="3"/>
        <v>45838</v>
      </c>
    </row>
    <row r="114" spans="1:4" x14ac:dyDescent="0.3">
      <c r="A114" s="28">
        <v>44458</v>
      </c>
      <c r="B114" s="28">
        <v>45551</v>
      </c>
      <c r="C114">
        <f t="shared" si="2"/>
        <v>35</v>
      </c>
      <c r="D114">
        <f t="shared" si="3"/>
        <v>45838</v>
      </c>
    </row>
    <row r="115" spans="1:4" x14ac:dyDescent="0.3">
      <c r="A115" s="28">
        <v>44446</v>
      </c>
      <c r="B115" s="28">
        <v>45554</v>
      </c>
      <c r="C115">
        <f t="shared" si="2"/>
        <v>36</v>
      </c>
      <c r="D115">
        <f t="shared" si="3"/>
        <v>45838</v>
      </c>
    </row>
    <row r="116" spans="1:4" x14ac:dyDescent="0.3">
      <c r="A116" s="28">
        <v>44482</v>
      </c>
      <c r="B116" s="28">
        <v>45554</v>
      </c>
      <c r="C116">
        <f t="shared" si="2"/>
        <v>35</v>
      </c>
      <c r="D116">
        <f t="shared" si="3"/>
        <v>45838</v>
      </c>
    </row>
    <row r="117" spans="1:4" x14ac:dyDescent="0.3">
      <c r="A117" s="28">
        <v>44618</v>
      </c>
      <c r="B117" s="28">
        <v>45554</v>
      </c>
      <c r="C117">
        <f t="shared" si="2"/>
        <v>30</v>
      </c>
      <c r="D117">
        <f t="shared" si="3"/>
        <v>45838</v>
      </c>
    </row>
    <row r="118" spans="1:4" x14ac:dyDescent="0.3">
      <c r="A118" s="28">
        <v>45157</v>
      </c>
      <c r="B118" s="28">
        <v>45559</v>
      </c>
      <c r="C118">
        <f t="shared" si="2"/>
        <v>13</v>
      </c>
      <c r="D118">
        <f t="shared" si="3"/>
        <v>45838</v>
      </c>
    </row>
    <row r="119" spans="1:4" x14ac:dyDescent="0.3">
      <c r="A119" s="28">
        <v>44886</v>
      </c>
      <c r="B119" s="28">
        <v>45560</v>
      </c>
      <c r="C119">
        <f t="shared" si="2"/>
        <v>22</v>
      </c>
      <c r="D119">
        <f t="shared" si="3"/>
        <v>45838</v>
      </c>
    </row>
    <row r="120" spans="1:4" x14ac:dyDescent="0.3">
      <c r="A120" s="28">
        <v>44569</v>
      </c>
      <c r="B120" s="28">
        <v>45563</v>
      </c>
      <c r="C120">
        <f t="shared" si="2"/>
        <v>32</v>
      </c>
      <c r="D120">
        <f t="shared" si="3"/>
        <v>45838</v>
      </c>
    </row>
    <row r="121" spans="1:4" x14ac:dyDescent="0.3">
      <c r="A121" s="28">
        <v>44953</v>
      </c>
      <c r="B121" s="28">
        <v>45564</v>
      </c>
      <c r="C121">
        <f t="shared" si="2"/>
        <v>20</v>
      </c>
      <c r="D121">
        <f t="shared" si="3"/>
        <v>45838</v>
      </c>
    </row>
    <row r="122" spans="1:4" x14ac:dyDescent="0.3">
      <c r="A122" s="28">
        <v>44460</v>
      </c>
      <c r="B122" s="28">
        <v>45566</v>
      </c>
      <c r="C122">
        <f t="shared" si="2"/>
        <v>36</v>
      </c>
      <c r="D122">
        <f t="shared" si="3"/>
        <v>45900</v>
      </c>
    </row>
    <row r="123" spans="1:4" x14ac:dyDescent="0.3">
      <c r="A123" s="28">
        <v>44579</v>
      </c>
      <c r="B123" s="28">
        <v>45572</v>
      </c>
      <c r="C123">
        <f t="shared" si="2"/>
        <v>32</v>
      </c>
      <c r="D123">
        <f t="shared" si="3"/>
        <v>45900</v>
      </c>
    </row>
    <row r="124" spans="1:4" x14ac:dyDescent="0.3">
      <c r="A124" s="28">
        <v>45076</v>
      </c>
      <c r="B124" s="28">
        <v>45572</v>
      </c>
      <c r="C124">
        <f t="shared" si="2"/>
        <v>16</v>
      </c>
      <c r="D124">
        <f t="shared" si="3"/>
        <v>45900</v>
      </c>
    </row>
    <row r="125" spans="1:4" x14ac:dyDescent="0.3">
      <c r="A125" s="28">
        <v>45274</v>
      </c>
      <c r="B125" s="28">
        <v>45573</v>
      </c>
      <c r="C125">
        <f t="shared" si="2"/>
        <v>9</v>
      </c>
      <c r="D125">
        <f t="shared" si="3"/>
        <v>45900</v>
      </c>
    </row>
    <row r="126" spans="1:4" x14ac:dyDescent="0.3">
      <c r="A126" s="28">
        <v>44940</v>
      </c>
      <c r="B126" s="28">
        <v>45573</v>
      </c>
      <c r="C126">
        <f t="shared" si="2"/>
        <v>20</v>
      </c>
      <c r="D126">
        <f t="shared" si="3"/>
        <v>45900</v>
      </c>
    </row>
    <row r="127" spans="1:4" x14ac:dyDescent="0.3">
      <c r="A127" s="28">
        <v>45174</v>
      </c>
      <c r="B127" s="28">
        <v>45576</v>
      </c>
      <c r="C127">
        <f t="shared" si="2"/>
        <v>13</v>
      </c>
      <c r="D127">
        <f t="shared" si="3"/>
        <v>45900</v>
      </c>
    </row>
    <row r="128" spans="1:4" x14ac:dyDescent="0.3">
      <c r="A128" s="28">
        <v>45215</v>
      </c>
      <c r="B128" s="28">
        <v>45579</v>
      </c>
      <c r="C128">
        <f t="shared" si="2"/>
        <v>11</v>
      </c>
      <c r="D128">
        <f t="shared" si="3"/>
        <v>45900</v>
      </c>
    </row>
    <row r="129" spans="1:4" x14ac:dyDescent="0.3">
      <c r="A129" s="28">
        <v>45008</v>
      </c>
      <c r="B129" s="28">
        <v>45581</v>
      </c>
      <c r="C129">
        <f t="shared" si="2"/>
        <v>18</v>
      </c>
      <c r="D129">
        <f t="shared" si="3"/>
        <v>45900</v>
      </c>
    </row>
    <row r="130" spans="1:4" x14ac:dyDescent="0.3">
      <c r="A130" s="28">
        <v>45385</v>
      </c>
      <c r="B130" s="28">
        <v>45581</v>
      </c>
      <c r="C130">
        <f t="shared" si="2"/>
        <v>6</v>
      </c>
      <c r="D130">
        <f t="shared" si="3"/>
        <v>45900</v>
      </c>
    </row>
    <row r="131" spans="1:4" x14ac:dyDescent="0.3">
      <c r="A131" s="28">
        <v>45369</v>
      </c>
      <c r="B131" s="28">
        <v>45581</v>
      </c>
      <c r="C131">
        <f t="shared" ref="C131:C194" si="4">DATEDIF(A131,B131,"m")</f>
        <v>6</v>
      </c>
      <c r="D131">
        <f t="shared" ref="D131:D194" si="5">EOMONTH(B131,MONTH(B131))</f>
        <v>45900</v>
      </c>
    </row>
    <row r="132" spans="1:4" x14ac:dyDescent="0.3">
      <c r="A132" s="28">
        <v>44916</v>
      </c>
      <c r="B132" s="28">
        <v>45583</v>
      </c>
      <c r="C132">
        <f t="shared" si="4"/>
        <v>21</v>
      </c>
      <c r="D132">
        <f t="shared" si="5"/>
        <v>45900</v>
      </c>
    </row>
    <row r="133" spans="1:4" x14ac:dyDescent="0.3">
      <c r="A133" s="28">
        <v>44551</v>
      </c>
      <c r="B133" s="28">
        <v>45586</v>
      </c>
      <c r="C133">
        <f t="shared" si="4"/>
        <v>34</v>
      </c>
      <c r="D133">
        <f t="shared" si="5"/>
        <v>45900</v>
      </c>
    </row>
    <row r="134" spans="1:4" x14ac:dyDescent="0.3">
      <c r="A134" s="28">
        <v>44473</v>
      </c>
      <c r="B134" s="28">
        <v>45588</v>
      </c>
      <c r="C134">
        <f t="shared" si="4"/>
        <v>36</v>
      </c>
      <c r="D134">
        <f t="shared" si="5"/>
        <v>45900</v>
      </c>
    </row>
    <row r="135" spans="1:4" x14ac:dyDescent="0.3">
      <c r="A135" s="28">
        <v>44992</v>
      </c>
      <c r="B135" s="28">
        <v>45588</v>
      </c>
      <c r="C135">
        <f t="shared" si="4"/>
        <v>19</v>
      </c>
      <c r="D135">
        <f t="shared" si="5"/>
        <v>45900</v>
      </c>
    </row>
    <row r="136" spans="1:4" x14ac:dyDescent="0.3">
      <c r="A136" s="28">
        <v>44635</v>
      </c>
      <c r="B136" s="28">
        <v>45589</v>
      </c>
      <c r="C136">
        <f t="shared" si="4"/>
        <v>31</v>
      </c>
      <c r="D136">
        <f t="shared" si="5"/>
        <v>45900</v>
      </c>
    </row>
    <row r="137" spans="1:4" x14ac:dyDescent="0.3">
      <c r="A137" s="28">
        <v>44615</v>
      </c>
      <c r="B137" s="28">
        <v>45592</v>
      </c>
      <c r="C137">
        <f t="shared" si="4"/>
        <v>32</v>
      </c>
      <c r="D137">
        <f t="shared" si="5"/>
        <v>45900</v>
      </c>
    </row>
    <row r="138" spans="1:4" x14ac:dyDescent="0.3">
      <c r="A138" s="28">
        <v>44881</v>
      </c>
      <c r="B138" s="28">
        <v>45597</v>
      </c>
      <c r="C138">
        <f t="shared" si="4"/>
        <v>23</v>
      </c>
      <c r="D138">
        <f t="shared" si="5"/>
        <v>45961</v>
      </c>
    </row>
    <row r="139" spans="1:4" x14ac:dyDescent="0.3">
      <c r="A139" s="28">
        <v>44502</v>
      </c>
      <c r="B139" s="28">
        <v>45600</v>
      </c>
      <c r="C139">
        <f t="shared" si="4"/>
        <v>36</v>
      </c>
      <c r="D139">
        <f t="shared" si="5"/>
        <v>45961</v>
      </c>
    </row>
    <row r="140" spans="1:4" x14ac:dyDescent="0.3">
      <c r="A140" s="28">
        <v>44420</v>
      </c>
      <c r="B140" s="28">
        <v>45603</v>
      </c>
      <c r="C140">
        <f t="shared" si="4"/>
        <v>38</v>
      </c>
      <c r="D140">
        <f t="shared" si="5"/>
        <v>45961</v>
      </c>
    </row>
    <row r="141" spans="1:4" x14ac:dyDescent="0.3">
      <c r="A141" s="28">
        <v>44848</v>
      </c>
      <c r="B141" s="28">
        <v>45604</v>
      </c>
      <c r="C141">
        <f t="shared" si="4"/>
        <v>24</v>
      </c>
      <c r="D141">
        <f t="shared" si="5"/>
        <v>45961</v>
      </c>
    </row>
    <row r="142" spans="1:4" x14ac:dyDescent="0.3">
      <c r="A142" s="28">
        <v>44828</v>
      </c>
      <c r="B142" s="28">
        <v>45605</v>
      </c>
      <c r="C142">
        <f t="shared" si="4"/>
        <v>25</v>
      </c>
      <c r="D142">
        <f t="shared" si="5"/>
        <v>45961</v>
      </c>
    </row>
    <row r="143" spans="1:4" x14ac:dyDescent="0.3">
      <c r="A143" s="28">
        <v>44769</v>
      </c>
      <c r="B143" s="28">
        <v>45607</v>
      </c>
      <c r="C143">
        <f t="shared" si="4"/>
        <v>27</v>
      </c>
      <c r="D143">
        <f t="shared" si="5"/>
        <v>45961</v>
      </c>
    </row>
    <row r="144" spans="1:4" x14ac:dyDescent="0.3">
      <c r="A144" s="28">
        <v>44694</v>
      </c>
      <c r="B144" s="28">
        <v>45607</v>
      </c>
      <c r="C144">
        <f t="shared" si="4"/>
        <v>29</v>
      </c>
      <c r="D144">
        <f t="shared" si="5"/>
        <v>45961</v>
      </c>
    </row>
    <row r="145" spans="1:4" x14ac:dyDescent="0.3">
      <c r="A145" s="28">
        <v>44659</v>
      </c>
      <c r="B145" s="28">
        <v>45607</v>
      </c>
      <c r="C145">
        <f t="shared" si="4"/>
        <v>31</v>
      </c>
      <c r="D145">
        <f t="shared" si="5"/>
        <v>45961</v>
      </c>
    </row>
    <row r="146" spans="1:4" x14ac:dyDescent="0.3">
      <c r="A146" s="28">
        <v>44901</v>
      </c>
      <c r="B146" s="28">
        <v>45608</v>
      </c>
      <c r="C146">
        <f t="shared" si="4"/>
        <v>23</v>
      </c>
      <c r="D146">
        <f t="shared" si="5"/>
        <v>45961</v>
      </c>
    </row>
    <row r="147" spans="1:4" x14ac:dyDescent="0.3">
      <c r="A147" s="28">
        <v>45260</v>
      </c>
      <c r="B147" s="28">
        <v>45608</v>
      </c>
      <c r="C147">
        <f t="shared" si="4"/>
        <v>11</v>
      </c>
      <c r="D147">
        <f t="shared" si="5"/>
        <v>45961</v>
      </c>
    </row>
    <row r="148" spans="1:4" x14ac:dyDescent="0.3">
      <c r="A148" s="28">
        <v>44869</v>
      </c>
      <c r="B148" s="28">
        <v>45613</v>
      </c>
      <c r="C148">
        <f t="shared" si="4"/>
        <v>24</v>
      </c>
      <c r="D148">
        <f t="shared" si="5"/>
        <v>45961</v>
      </c>
    </row>
    <row r="149" spans="1:4" x14ac:dyDescent="0.3">
      <c r="A149" s="28">
        <v>44770</v>
      </c>
      <c r="B149" s="28">
        <v>45613</v>
      </c>
      <c r="C149">
        <f t="shared" si="4"/>
        <v>27</v>
      </c>
      <c r="D149">
        <f t="shared" si="5"/>
        <v>45961</v>
      </c>
    </row>
    <row r="150" spans="1:4" x14ac:dyDescent="0.3">
      <c r="A150" s="28">
        <v>44427</v>
      </c>
      <c r="B150" s="28">
        <v>45617</v>
      </c>
      <c r="C150">
        <f t="shared" si="4"/>
        <v>39</v>
      </c>
      <c r="D150">
        <f t="shared" si="5"/>
        <v>45961</v>
      </c>
    </row>
    <row r="151" spans="1:4" x14ac:dyDescent="0.3">
      <c r="A151" s="28">
        <v>44560</v>
      </c>
      <c r="B151" s="28">
        <v>45619</v>
      </c>
      <c r="C151">
        <f t="shared" si="4"/>
        <v>34</v>
      </c>
      <c r="D151">
        <f t="shared" si="5"/>
        <v>45961</v>
      </c>
    </row>
    <row r="152" spans="1:4" x14ac:dyDescent="0.3">
      <c r="A152" s="28">
        <v>44583</v>
      </c>
      <c r="B152" s="28">
        <v>45619</v>
      </c>
      <c r="C152">
        <f t="shared" si="4"/>
        <v>34</v>
      </c>
      <c r="D152">
        <f t="shared" si="5"/>
        <v>45961</v>
      </c>
    </row>
    <row r="153" spans="1:4" x14ac:dyDescent="0.3">
      <c r="A153" s="28">
        <v>44873</v>
      </c>
      <c r="B153" s="28">
        <v>45622</v>
      </c>
      <c r="C153">
        <f t="shared" si="4"/>
        <v>24</v>
      </c>
      <c r="D153">
        <f t="shared" si="5"/>
        <v>45961</v>
      </c>
    </row>
    <row r="154" spans="1:4" x14ac:dyDescent="0.3">
      <c r="A154" s="28">
        <v>45101</v>
      </c>
      <c r="B154" s="28">
        <v>45623</v>
      </c>
      <c r="C154">
        <f t="shared" si="4"/>
        <v>17</v>
      </c>
      <c r="D154">
        <f t="shared" si="5"/>
        <v>45961</v>
      </c>
    </row>
    <row r="155" spans="1:4" x14ac:dyDescent="0.3">
      <c r="A155" s="28">
        <v>44659</v>
      </c>
      <c r="B155" s="28">
        <v>45627</v>
      </c>
      <c r="C155">
        <f t="shared" si="4"/>
        <v>31</v>
      </c>
      <c r="D155">
        <f t="shared" si="5"/>
        <v>46022</v>
      </c>
    </row>
    <row r="156" spans="1:4" x14ac:dyDescent="0.3">
      <c r="A156" s="28">
        <v>44485</v>
      </c>
      <c r="B156" s="28">
        <v>45627</v>
      </c>
      <c r="C156">
        <f t="shared" si="4"/>
        <v>37</v>
      </c>
      <c r="D156">
        <f t="shared" si="5"/>
        <v>46022</v>
      </c>
    </row>
    <row r="157" spans="1:4" x14ac:dyDescent="0.3">
      <c r="A157" s="28">
        <v>44475</v>
      </c>
      <c r="B157" s="28">
        <v>45627</v>
      </c>
      <c r="C157">
        <f t="shared" si="4"/>
        <v>37</v>
      </c>
      <c r="D157">
        <f t="shared" si="5"/>
        <v>46022</v>
      </c>
    </row>
    <row r="158" spans="1:4" x14ac:dyDescent="0.3">
      <c r="A158" s="28">
        <v>44944</v>
      </c>
      <c r="B158" s="28">
        <v>45627</v>
      </c>
      <c r="C158">
        <f t="shared" si="4"/>
        <v>22</v>
      </c>
      <c r="D158">
        <f t="shared" si="5"/>
        <v>46022</v>
      </c>
    </row>
    <row r="159" spans="1:4" x14ac:dyDescent="0.3">
      <c r="A159" s="28">
        <v>45098</v>
      </c>
      <c r="B159" s="28">
        <v>45629</v>
      </c>
      <c r="C159">
        <f t="shared" si="4"/>
        <v>17</v>
      </c>
      <c r="D159">
        <f t="shared" si="5"/>
        <v>46022</v>
      </c>
    </row>
    <row r="160" spans="1:4" x14ac:dyDescent="0.3">
      <c r="A160" s="28">
        <v>44703</v>
      </c>
      <c r="B160" s="28">
        <v>45630</v>
      </c>
      <c r="C160">
        <f t="shared" si="4"/>
        <v>30</v>
      </c>
      <c r="D160">
        <f t="shared" si="5"/>
        <v>46022</v>
      </c>
    </row>
    <row r="161" spans="1:4" x14ac:dyDescent="0.3">
      <c r="A161" s="28">
        <v>44396</v>
      </c>
      <c r="B161" s="28">
        <v>45635</v>
      </c>
      <c r="C161">
        <f t="shared" si="4"/>
        <v>40</v>
      </c>
      <c r="D161">
        <f t="shared" si="5"/>
        <v>46022</v>
      </c>
    </row>
    <row r="162" spans="1:4" x14ac:dyDescent="0.3">
      <c r="A162" s="28">
        <v>45052</v>
      </c>
      <c r="B162" s="28">
        <v>45635</v>
      </c>
      <c r="C162">
        <f t="shared" si="4"/>
        <v>19</v>
      </c>
      <c r="D162">
        <f t="shared" si="5"/>
        <v>46022</v>
      </c>
    </row>
    <row r="163" spans="1:4" x14ac:dyDescent="0.3">
      <c r="A163" s="28">
        <v>44921</v>
      </c>
      <c r="B163" s="28">
        <v>45635</v>
      </c>
      <c r="C163">
        <f t="shared" si="4"/>
        <v>23</v>
      </c>
      <c r="D163">
        <f t="shared" si="5"/>
        <v>46022</v>
      </c>
    </row>
    <row r="164" spans="1:4" x14ac:dyDescent="0.3">
      <c r="A164" s="28">
        <v>44779</v>
      </c>
      <c r="B164" s="28">
        <v>45636</v>
      </c>
      <c r="C164">
        <f t="shared" si="4"/>
        <v>28</v>
      </c>
      <c r="D164">
        <f t="shared" si="5"/>
        <v>46022</v>
      </c>
    </row>
    <row r="165" spans="1:4" x14ac:dyDescent="0.3">
      <c r="A165" s="28">
        <v>44406</v>
      </c>
      <c r="B165" s="28">
        <v>45638</v>
      </c>
      <c r="C165">
        <f t="shared" si="4"/>
        <v>40</v>
      </c>
      <c r="D165">
        <f t="shared" si="5"/>
        <v>46022</v>
      </c>
    </row>
    <row r="166" spans="1:4" x14ac:dyDescent="0.3">
      <c r="A166" s="28">
        <v>45200</v>
      </c>
      <c r="B166" s="28">
        <v>45641</v>
      </c>
      <c r="C166">
        <f t="shared" si="4"/>
        <v>14</v>
      </c>
      <c r="D166">
        <f t="shared" si="5"/>
        <v>46022</v>
      </c>
    </row>
    <row r="167" spans="1:4" x14ac:dyDescent="0.3">
      <c r="A167" s="28">
        <v>44724</v>
      </c>
      <c r="B167" s="28">
        <v>45641</v>
      </c>
      <c r="C167">
        <f t="shared" si="4"/>
        <v>30</v>
      </c>
      <c r="D167">
        <f t="shared" si="5"/>
        <v>46022</v>
      </c>
    </row>
    <row r="168" spans="1:4" x14ac:dyDescent="0.3">
      <c r="A168" s="28">
        <v>45191</v>
      </c>
      <c r="B168" s="28">
        <v>45644</v>
      </c>
      <c r="C168">
        <f t="shared" si="4"/>
        <v>14</v>
      </c>
      <c r="D168">
        <f t="shared" si="5"/>
        <v>46022</v>
      </c>
    </row>
    <row r="169" spans="1:4" x14ac:dyDescent="0.3">
      <c r="A169" s="28">
        <v>44760</v>
      </c>
      <c r="B169" s="28">
        <v>45645</v>
      </c>
      <c r="C169">
        <f t="shared" si="4"/>
        <v>29</v>
      </c>
      <c r="D169">
        <f t="shared" si="5"/>
        <v>46022</v>
      </c>
    </row>
    <row r="170" spans="1:4" x14ac:dyDescent="0.3">
      <c r="A170" s="28">
        <v>44625</v>
      </c>
      <c r="B170" s="28">
        <v>45645</v>
      </c>
      <c r="C170">
        <f t="shared" si="4"/>
        <v>33</v>
      </c>
      <c r="D170">
        <f t="shared" si="5"/>
        <v>46022</v>
      </c>
    </row>
    <row r="171" spans="1:4" x14ac:dyDescent="0.3">
      <c r="A171" s="28">
        <v>45239</v>
      </c>
      <c r="B171" s="28">
        <v>45646</v>
      </c>
      <c r="C171">
        <f t="shared" si="4"/>
        <v>13</v>
      </c>
      <c r="D171">
        <f t="shared" si="5"/>
        <v>46022</v>
      </c>
    </row>
    <row r="172" spans="1:4" x14ac:dyDescent="0.3">
      <c r="A172" s="28">
        <v>45280</v>
      </c>
      <c r="B172" s="28">
        <v>45648</v>
      </c>
      <c r="C172">
        <f t="shared" si="4"/>
        <v>12</v>
      </c>
      <c r="D172">
        <f t="shared" si="5"/>
        <v>46022</v>
      </c>
    </row>
    <row r="173" spans="1:4" x14ac:dyDescent="0.3">
      <c r="A173" s="28">
        <v>44522</v>
      </c>
      <c r="B173" s="28">
        <v>45648</v>
      </c>
      <c r="C173">
        <f t="shared" si="4"/>
        <v>37</v>
      </c>
      <c r="D173">
        <f t="shared" si="5"/>
        <v>46022</v>
      </c>
    </row>
    <row r="174" spans="1:4" x14ac:dyDescent="0.3">
      <c r="A174" s="28">
        <v>44721</v>
      </c>
      <c r="B174" s="28">
        <v>45649</v>
      </c>
      <c r="C174">
        <f t="shared" si="4"/>
        <v>30</v>
      </c>
      <c r="D174">
        <f t="shared" si="5"/>
        <v>46022</v>
      </c>
    </row>
    <row r="175" spans="1:4" x14ac:dyDescent="0.3">
      <c r="A175" s="28">
        <v>44771</v>
      </c>
      <c r="B175" s="28">
        <v>45654</v>
      </c>
      <c r="C175">
        <f t="shared" si="4"/>
        <v>28</v>
      </c>
      <c r="D175">
        <f t="shared" si="5"/>
        <v>46022</v>
      </c>
    </row>
    <row r="176" spans="1:4" x14ac:dyDescent="0.3">
      <c r="A176" s="28">
        <v>44523</v>
      </c>
      <c r="B176" s="28">
        <v>45654</v>
      </c>
      <c r="C176">
        <f t="shared" si="4"/>
        <v>37</v>
      </c>
      <c r="D176">
        <f t="shared" si="5"/>
        <v>46022</v>
      </c>
    </row>
    <row r="177" spans="1:4" x14ac:dyDescent="0.3">
      <c r="A177" s="28">
        <v>44591</v>
      </c>
      <c r="B177" s="28">
        <v>45655</v>
      </c>
      <c r="C177">
        <f t="shared" si="4"/>
        <v>34</v>
      </c>
      <c r="D177">
        <f t="shared" si="5"/>
        <v>46022</v>
      </c>
    </row>
    <row r="178" spans="1:4" x14ac:dyDescent="0.3">
      <c r="A178" s="28">
        <v>45347</v>
      </c>
      <c r="B178" s="28">
        <v>45655</v>
      </c>
      <c r="C178">
        <f t="shared" si="4"/>
        <v>10</v>
      </c>
      <c r="D178">
        <f t="shared" si="5"/>
        <v>46022</v>
      </c>
    </row>
    <row r="179" spans="1:4" x14ac:dyDescent="0.3">
      <c r="A179" s="28">
        <v>45050</v>
      </c>
      <c r="B179" s="28">
        <v>45657</v>
      </c>
      <c r="C179">
        <f t="shared" si="4"/>
        <v>19</v>
      </c>
      <c r="D179">
        <f t="shared" si="5"/>
        <v>46022</v>
      </c>
    </row>
    <row r="180" spans="1:4" x14ac:dyDescent="0.3">
      <c r="A180" s="28">
        <v>44564</v>
      </c>
      <c r="B180" s="28">
        <v>45660</v>
      </c>
      <c r="C180">
        <f t="shared" si="4"/>
        <v>36</v>
      </c>
      <c r="D180">
        <f t="shared" si="5"/>
        <v>45716</v>
      </c>
    </row>
    <row r="181" spans="1:4" x14ac:dyDescent="0.3">
      <c r="A181" s="28">
        <v>44752</v>
      </c>
      <c r="B181" s="28">
        <v>45661</v>
      </c>
      <c r="C181">
        <f t="shared" si="4"/>
        <v>29</v>
      </c>
      <c r="D181">
        <f t="shared" si="5"/>
        <v>45716</v>
      </c>
    </row>
    <row r="182" spans="1:4" x14ac:dyDescent="0.3">
      <c r="A182" s="28">
        <v>44824</v>
      </c>
      <c r="B182" s="28">
        <v>45663</v>
      </c>
      <c r="C182">
        <f t="shared" si="4"/>
        <v>27</v>
      </c>
      <c r="D182">
        <f t="shared" si="5"/>
        <v>45716</v>
      </c>
    </row>
    <row r="183" spans="1:4" x14ac:dyDescent="0.3">
      <c r="A183" s="28">
        <v>44422</v>
      </c>
      <c r="B183" s="28">
        <v>45663</v>
      </c>
      <c r="C183">
        <f t="shared" si="4"/>
        <v>40</v>
      </c>
      <c r="D183">
        <f t="shared" si="5"/>
        <v>45716</v>
      </c>
    </row>
    <row r="184" spans="1:4" x14ac:dyDescent="0.3">
      <c r="A184" s="28">
        <v>45105</v>
      </c>
      <c r="B184" s="28">
        <v>45666</v>
      </c>
      <c r="C184">
        <f t="shared" si="4"/>
        <v>18</v>
      </c>
      <c r="D184">
        <f t="shared" si="5"/>
        <v>45716</v>
      </c>
    </row>
    <row r="185" spans="1:4" x14ac:dyDescent="0.3">
      <c r="A185" s="28">
        <v>44633</v>
      </c>
      <c r="B185" s="28">
        <v>45667</v>
      </c>
      <c r="C185">
        <f t="shared" si="4"/>
        <v>33</v>
      </c>
      <c r="D185">
        <f t="shared" si="5"/>
        <v>45716</v>
      </c>
    </row>
    <row r="186" spans="1:4" x14ac:dyDescent="0.3">
      <c r="A186" s="28">
        <v>45330</v>
      </c>
      <c r="B186" s="28">
        <v>45667</v>
      </c>
      <c r="C186">
        <f t="shared" si="4"/>
        <v>11</v>
      </c>
      <c r="D186">
        <f t="shared" si="5"/>
        <v>45716</v>
      </c>
    </row>
    <row r="187" spans="1:4" x14ac:dyDescent="0.3">
      <c r="A187" s="28">
        <v>44536</v>
      </c>
      <c r="B187" s="28">
        <v>45668</v>
      </c>
      <c r="C187">
        <f t="shared" si="4"/>
        <v>37</v>
      </c>
      <c r="D187">
        <f t="shared" si="5"/>
        <v>45716</v>
      </c>
    </row>
    <row r="188" spans="1:4" x14ac:dyDescent="0.3">
      <c r="A188" s="28">
        <v>44602</v>
      </c>
      <c r="B188" s="28">
        <v>45668</v>
      </c>
      <c r="C188">
        <f t="shared" si="4"/>
        <v>35</v>
      </c>
      <c r="D188">
        <f t="shared" si="5"/>
        <v>45716</v>
      </c>
    </row>
    <row r="189" spans="1:4" x14ac:dyDescent="0.3">
      <c r="A189" s="28">
        <v>45322</v>
      </c>
      <c r="B189" s="28">
        <v>45670</v>
      </c>
      <c r="C189">
        <f t="shared" si="4"/>
        <v>11</v>
      </c>
      <c r="D189">
        <f t="shared" si="5"/>
        <v>45716</v>
      </c>
    </row>
    <row r="190" spans="1:4" x14ac:dyDescent="0.3">
      <c r="A190" s="28">
        <v>44436</v>
      </c>
      <c r="B190" s="28">
        <v>45670</v>
      </c>
      <c r="C190">
        <f t="shared" si="4"/>
        <v>40</v>
      </c>
      <c r="D190">
        <f t="shared" si="5"/>
        <v>45716</v>
      </c>
    </row>
    <row r="191" spans="1:4" x14ac:dyDescent="0.3">
      <c r="A191" s="28">
        <v>44460</v>
      </c>
      <c r="B191" s="28">
        <v>45671</v>
      </c>
      <c r="C191">
        <f t="shared" si="4"/>
        <v>39</v>
      </c>
      <c r="D191">
        <f t="shared" si="5"/>
        <v>45716</v>
      </c>
    </row>
    <row r="192" spans="1:4" x14ac:dyDescent="0.3">
      <c r="A192" s="28">
        <v>44913</v>
      </c>
      <c r="B192" s="28">
        <v>45671</v>
      </c>
      <c r="C192">
        <f t="shared" si="4"/>
        <v>24</v>
      </c>
      <c r="D192">
        <f t="shared" si="5"/>
        <v>45716</v>
      </c>
    </row>
    <row r="193" spans="1:4" x14ac:dyDescent="0.3">
      <c r="A193" s="28">
        <v>45204</v>
      </c>
      <c r="B193" s="28">
        <v>45671</v>
      </c>
      <c r="C193">
        <f t="shared" si="4"/>
        <v>15</v>
      </c>
      <c r="D193">
        <f t="shared" si="5"/>
        <v>45716</v>
      </c>
    </row>
    <row r="194" spans="1:4" x14ac:dyDescent="0.3">
      <c r="A194" s="28">
        <v>44544</v>
      </c>
      <c r="B194" s="28">
        <v>45673</v>
      </c>
      <c r="C194">
        <f t="shared" si="4"/>
        <v>37</v>
      </c>
      <c r="D194">
        <f t="shared" si="5"/>
        <v>45716</v>
      </c>
    </row>
    <row r="195" spans="1:4" x14ac:dyDescent="0.3">
      <c r="A195" s="28">
        <v>44431</v>
      </c>
      <c r="B195" s="28">
        <v>45673</v>
      </c>
      <c r="C195">
        <f t="shared" ref="C195:C251" si="6">DATEDIF(A195,B195,"m")</f>
        <v>40</v>
      </c>
      <c r="D195">
        <f t="shared" ref="D195:D251" si="7">EOMONTH(B195,MONTH(B195))</f>
        <v>45716</v>
      </c>
    </row>
    <row r="196" spans="1:4" x14ac:dyDescent="0.3">
      <c r="A196" s="28">
        <v>44395</v>
      </c>
      <c r="B196" s="28">
        <v>45673</v>
      </c>
      <c r="C196">
        <f t="shared" si="6"/>
        <v>41</v>
      </c>
      <c r="D196">
        <f t="shared" si="7"/>
        <v>45716</v>
      </c>
    </row>
    <row r="197" spans="1:4" x14ac:dyDescent="0.3">
      <c r="A197" s="28">
        <v>44642</v>
      </c>
      <c r="B197" s="28">
        <v>45676</v>
      </c>
      <c r="C197">
        <f t="shared" si="6"/>
        <v>33</v>
      </c>
      <c r="D197">
        <f t="shared" si="7"/>
        <v>45716</v>
      </c>
    </row>
    <row r="198" spans="1:4" x14ac:dyDescent="0.3">
      <c r="A198" s="28">
        <v>44564</v>
      </c>
      <c r="B198" s="28">
        <v>45682</v>
      </c>
      <c r="C198">
        <f t="shared" si="6"/>
        <v>36</v>
      </c>
      <c r="D198">
        <f t="shared" si="7"/>
        <v>45716</v>
      </c>
    </row>
    <row r="199" spans="1:4" x14ac:dyDescent="0.3">
      <c r="A199" s="28">
        <v>45217</v>
      </c>
      <c r="B199" s="28">
        <v>45683</v>
      </c>
      <c r="C199">
        <f t="shared" si="6"/>
        <v>15</v>
      </c>
      <c r="D199">
        <f t="shared" si="7"/>
        <v>45716</v>
      </c>
    </row>
    <row r="200" spans="1:4" x14ac:dyDescent="0.3">
      <c r="A200" s="28">
        <v>44734</v>
      </c>
      <c r="B200" s="28">
        <v>45686</v>
      </c>
      <c r="C200">
        <f t="shared" si="6"/>
        <v>31</v>
      </c>
      <c r="D200">
        <f t="shared" si="7"/>
        <v>45716</v>
      </c>
    </row>
    <row r="201" spans="1:4" x14ac:dyDescent="0.3">
      <c r="A201" s="28">
        <v>44952</v>
      </c>
      <c r="B201" s="28">
        <v>45686</v>
      </c>
      <c r="C201">
        <f t="shared" si="6"/>
        <v>24</v>
      </c>
      <c r="D201">
        <f t="shared" si="7"/>
        <v>45716</v>
      </c>
    </row>
    <row r="202" spans="1:4" x14ac:dyDescent="0.3">
      <c r="A202" s="28">
        <v>44681</v>
      </c>
      <c r="B202" s="28">
        <v>45686</v>
      </c>
      <c r="C202">
        <f t="shared" si="6"/>
        <v>32</v>
      </c>
      <c r="D202">
        <f t="shared" si="7"/>
        <v>45716</v>
      </c>
    </row>
    <row r="203" spans="1:4" x14ac:dyDescent="0.3">
      <c r="A203" s="28">
        <v>44692</v>
      </c>
      <c r="B203" s="28">
        <v>45688</v>
      </c>
      <c r="C203">
        <f t="shared" si="6"/>
        <v>32</v>
      </c>
      <c r="D203">
        <f t="shared" si="7"/>
        <v>45716</v>
      </c>
    </row>
    <row r="204" spans="1:4" x14ac:dyDescent="0.3">
      <c r="A204" s="28">
        <v>44777</v>
      </c>
      <c r="B204" s="28">
        <v>45688</v>
      </c>
      <c r="C204">
        <f t="shared" si="6"/>
        <v>29</v>
      </c>
      <c r="D204">
        <f t="shared" si="7"/>
        <v>45716</v>
      </c>
    </row>
    <row r="205" spans="1:4" x14ac:dyDescent="0.3">
      <c r="A205" s="28">
        <v>45307</v>
      </c>
      <c r="B205" s="28">
        <v>45688</v>
      </c>
      <c r="C205">
        <f t="shared" si="6"/>
        <v>12</v>
      </c>
      <c r="D205">
        <f t="shared" si="7"/>
        <v>45716</v>
      </c>
    </row>
    <row r="206" spans="1:4" x14ac:dyDescent="0.3">
      <c r="A206" s="28">
        <v>45045</v>
      </c>
      <c r="B206" s="28">
        <v>45692</v>
      </c>
      <c r="C206">
        <f t="shared" si="6"/>
        <v>21</v>
      </c>
      <c r="D206">
        <f t="shared" si="7"/>
        <v>45777</v>
      </c>
    </row>
    <row r="207" spans="1:4" x14ac:dyDescent="0.3">
      <c r="A207" s="28">
        <v>44564</v>
      </c>
      <c r="B207" s="28">
        <v>45695</v>
      </c>
      <c r="C207">
        <f t="shared" si="6"/>
        <v>37</v>
      </c>
      <c r="D207">
        <f t="shared" si="7"/>
        <v>45777</v>
      </c>
    </row>
    <row r="208" spans="1:4" x14ac:dyDescent="0.3">
      <c r="A208" s="28">
        <v>44959</v>
      </c>
      <c r="B208" s="28">
        <v>45695</v>
      </c>
      <c r="C208">
        <f t="shared" si="6"/>
        <v>24</v>
      </c>
      <c r="D208">
        <f t="shared" si="7"/>
        <v>45777</v>
      </c>
    </row>
    <row r="209" spans="1:4" x14ac:dyDescent="0.3">
      <c r="A209" s="28">
        <v>45177</v>
      </c>
      <c r="B209" s="28">
        <v>45696</v>
      </c>
      <c r="C209">
        <f t="shared" si="6"/>
        <v>17</v>
      </c>
      <c r="D209">
        <f t="shared" si="7"/>
        <v>45777</v>
      </c>
    </row>
    <row r="210" spans="1:4" x14ac:dyDescent="0.3">
      <c r="A210" s="28">
        <v>44436</v>
      </c>
      <c r="B210" s="28">
        <v>45701</v>
      </c>
      <c r="C210">
        <f t="shared" si="6"/>
        <v>41</v>
      </c>
      <c r="D210">
        <f t="shared" si="7"/>
        <v>45777</v>
      </c>
    </row>
    <row r="211" spans="1:4" x14ac:dyDescent="0.3">
      <c r="A211" s="28">
        <v>44735</v>
      </c>
      <c r="B211" s="28">
        <v>45704</v>
      </c>
      <c r="C211">
        <f t="shared" si="6"/>
        <v>31</v>
      </c>
      <c r="D211">
        <f t="shared" si="7"/>
        <v>45777</v>
      </c>
    </row>
    <row r="212" spans="1:4" x14ac:dyDescent="0.3">
      <c r="A212" s="28">
        <v>45257</v>
      </c>
      <c r="B212" s="28">
        <v>45704</v>
      </c>
      <c r="C212">
        <f t="shared" si="6"/>
        <v>14</v>
      </c>
      <c r="D212">
        <f t="shared" si="7"/>
        <v>45777</v>
      </c>
    </row>
    <row r="213" spans="1:4" x14ac:dyDescent="0.3">
      <c r="A213" s="28">
        <v>44728</v>
      </c>
      <c r="B213" s="28">
        <v>45705</v>
      </c>
      <c r="C213">
        <f t="shared" si="6"/>
        <v>32</v>
      </c>
      <c r="D213">
        <f t="shared" si="7"/>
        <v>45777</v>
      </c>
    </row>
    <row r="214" spans="1:4" x14ac:dyDescent="0.3">
      <c r="A214" s="28">
        <v>45352</v>
      </c>
      <c r="B214" s="28">
        <v>45707</v>
      </c>
      <c r="C214">
        <f t="shared" si="6"/>
        <v>11</v>
      </c>
      <c r="D214">
        <f t="shared" si="7"/>
        <v>45777</v>
      </c>
    </row>
    <row r="215" spans="1:4" x14ac:dyDescent="0.3">
      <c r="A215" s="28">
        <v>44633</v>
      </c>
      <c r="B215" s="28">
        <v>45707</v>
      </c>
      <c r="C215">
        <f t="shared" si="6"/>
        <v>35</v>
      </c>
      <c r="D215">
        <f t="shared" si="7"/>
        <v>45777</v>
      </c>
    </row>
    <row r="216" spans="1:4" x14ac:dyDescent="0.3">
      <c r="A216" s="28">
        <v>44613</v>
      </c>
      <c r="B216" s="28">
        <v>45708</v>
      </c>
      <c r="C216">
        <f t="shared" si="6"/>
        <v>35</v>
      </c>
      <c r="D216">
        <f t="shared" si="7"/>
        <v>45777</v>
      </c>
    </row>
    <row r="217" spans="1:4" x14ac:dyDescent="0.3">
      <c r="A217" s="28">
        <v>44823</v>
      </c>
      <c r="B217" s="28">
        <v>45708</v>
      </c>
      <c r="C217">
        <f t="shared" si="6"/>
        <v>29</v>
      </c>
      <c r="D217">
        <f t="shared" si="7"/>
        <v>45777</v>
      </c>
    </row>
    <row r="218" spans="1:4" x14ac:dyDescent="0.3">
      <c r="A218" s="28">
        <v>45142</v>
      </c>
      <c r="B218" s="28">
        <v>45710</v>
      </c>
      <c r="C218">
        <f t="shared" si="6"/>
        <v>18</v>
      </c>
      <c r="D218">
        <f t="shared" si="7"/>
        <v>45777</v>
      </c>
    </row>
    <row r="219" spans="1:4" x14ac:dyDescent="0.3">
      <c r="A219" s="28">
        <v>44934</v>
      </c>
      <c r="B219" s="28">
        <v>45710</v>
      </c>
      <c r="C219">
        <f t="shared" si="6"/>
        <v>25</v>
      </c>
      <c r="D219">
        <f t="shared" si="7"/>
        <v>45777</v>
      </c>
    </row>
    <row r="220" spans="1:4" x14ac:dyDescent="0.3">
      <c r="A220" s="28">
        <v>44583</v>
      </c>
      <c r="B220" s="28">
        <v>45711</v>
      </c>
      <c r="C220">
        <f t="shared" si="6"/>
        <v>37</v>
      </c>
      <c r="D220">
        <f t="shared" si="7"/>
        <v>45777</v>
      </c>
    </row>
    <row r="221" spans="1:4" x14ac:dyDescent="0.3">
      <c r="A221" s="28">
        <v>44412</v>
      </c>
      <c r="B221" s="28">
        <v>45711</v>
      </c>
      <c r="C221">
        <f t="shared" si="6"/>
        <v>42</v>
      </c>
      <c r="D221">
        <f t="shared" si="7"/>
        <v>45777</v>
      </c>
    </row>
    <row r="222" spans="1:4" x14ac:dyDescent="0.3">
      <c r="A222" s="28">
        <v>45140</v>
      </c>
      <c r="B222" s="28">
        <v>45711</v>
      </c>
      <c r="C222">
        <f t="shared" si="6"/>
        <v>18</v>
      </c>
      <c r="D222">
        <f t="shared" si="7"/>
        <v>45777</v>
      </c>
    </row>
    <row r="223" spans="1:4" x14ac:dyDescent="0.3">
      <c r="A223" s="28">
        <v>44573</v>
      </c>
      <c r="B223" s="28">
        <v>45712</v>
      </c>
      <c r="C223">
        <f t="shared" si="6"/>
        <v>37</v>
      </c>
      <c r="D223">
        <f t="shared" si="7"/>
        <v>45777</v>
      </c>
    </row>
    <row r="224" spans="1:4" x14ac:dyDescent="0.3">
      <c r="A224" s="28">
        <v>45070</v>
      </c>
      <c r="B224" s="28">
        <v>45715</v>
      </c>
      <c r="C224">
        <f t="shared" si="6"/>
        <v>21</v>
      </c>
      <c r="D224">
        <f t="shared" si="7"/>
        <v>45777</v>
      </c>
    </row>
    <row r="225" spans="1:4" x14ac:dyDescent="0.3">
      <c r="A225" s="28">
        <v>44576</v>
      </c>
      <c r="B225" s="28">
        <v>45715</v>
      </c>
      <c r="C225">
        <f t="shared" si="6"/>
        <v>37</v>
      </c>
      <c r="D225">
        <f t="shared" si="7"/>
        <v>45777</v>
      </c>
    </row>
    <row r="226" spans="1:4" x14ac:dyDescent="0.3">
      <c r="A226" s="28">
        <v>45068</v>
      </c>
      <c r="B226" s="28">
        <v>45718</v>
      </c>
      <c r="C226">
        <f t="shared" si="6"/>
        <v>21</v>
      </c>
      <c r="D226">
        <f t="shared" si="7"/>
        <v>45838</v>
      </c>
    </row>
    <row r="227" spans="1:4" x14ac:dyDescent="0.3">
      <c r="A227" s="28">
        <v>45161</v>
      </c>
      <c r="B227" s="28">
        <v>45720</v>
      </c>
      <c r="C227">
        <f t="shared" si="6"/>
        <v>18</v>
      </c>
      <c r="D227">
        <f t="shared" si="7"/>
        <v>45838</v>
      </c>
    </row>
    <row r="228" spans="1:4" x14ac:dyDescent="0.3">
      <c r="A228" s="28">
        <v>45291</v>
      </c>
      <c r="B228" s="28">
        <v>45721</v>
      </c>
      <c r="C228">
        <f t="shared" si="6"/>
        <v>14</v>
      </c>
      <c r="D228">
        <f t="shared" si="7"/>
        <v>45838</v>
      </c>
    </row>
    <row r="229" spans="1:4" x14ac:dyDescent="0.3">
      <c r="A229" s="28">
        <v>45295</v>
      </c>
      <c r="B229" s="28">
        <v>45723</v>
      </c>
      <c r="C229">
        <f t="shared" si="6"/>
        <v>14</v>
      </c>
      <c r="D229">
        <f t="shared" si="7"/>
        <v>45838</v>
      </c>
    </row>
    <row r="230" spans="1:4" x14ac:dyDescent="0.3">
      <c r="A230" s="28">
        <v>44540</v>
      </c>
      <c r="B230" s="28">
        <v>45723</v>
      </c>
      <c r="C230">
        <f t="shared" si="6"/>
        <v>38</v>
      </c>
      <c r="D230">
        <f t="shared" si="7"/>
        <v>45838</v>
      </c>
    </row>
    <row r="231" spans="1:4" x14ac:dyDescent="0.3">
      <c r="A231" s="28">
        <v>44632</v>
      </c>
      <c r="B231" s="28">
        <v>45724</v>
      </c>
      <c r="C231">
        <f t="shared" si="6"/>
        <v>35</v>
      </c>
      <c r="D231">
        <f t="shared" si="7"/>
        <v>45838</v>
      </c>
    </row>
    <row r="232" spans="1:4" x14ac:dyDescent="0.3">
      <c r="A232" s="28">
        <v>45389</v>
      </c>
      <c r="B232" s="28">
        <v>45724</v>
      </c>
      <c r="C232">
        <f t="shared" si="6"/>
        <v>11</v>
      </c>
      <c r="D232">
        <f t="shared" si="7"/>
        <v>45838</v>
      </c>
    </row>
    <row r="233" spans="1:4" x14ac:dyDescent="0.3">
      <c r="A233" s="28">
        <v>45263</v>
      </c>
      <c r="B233" s="28">
        <v>45724</v>
      </c>
      <c r="C233">
        <f t="shared" si="6"/>
        <v>15</v>
      </c>
      <c r="D233">
        <f t="shared" si="7"/>
        <v>45838</v>
      </c>
    </row>
    <row r="234" spans="1:4" x14ac:dyDescent="0.3">
      <c r="A234" s="28">
        <v>45117</v>
      </c>
      <c r="B234" s="28">
        <v>45726</v>
      </c>
      <c r="C234">
        <f t="shared" si="6"/>
        <v>20</v>
      </c>
      <c r="D234">
        <f t="shared" si="7"/>
        <v>45838</v>
      </c>
    </row>
    <row r="235" spans="1:4" x14ac:dyDescent="0.3">
      <c r="A235" s="28">
        <v>45193</v>
      </c>
      <c r="B235" s="28">
        <v>45734</v>
      </c>
      <c r="C235">
        <f t="shared" si="6"/>
        <v>17</v>
      </c>
      <c r="D235">
        <f t="shared" si="7"/>
        <v>45838</v>
      </c>
    </row>
    <row r="236" spans="1:4" x14ac:dyDescent="0.3">
      <c r="A236" s="28">
        <v>45233</v>
      </c>
      <c r="B236" s="28">
        <v>45737</v>
      </c>
      <c r="C236">
        <f t="shared" si="6"/>
        <v>16</v>
      </c>
      <c r="D236">
        <f t="shared" si="7"/>
        <v>45838</v>
      </c>
    </row>
    <row r="237" spans="1:4" x14ac:dyDescent="0.3">
      <c r="A237" s="28">
        <v>44876</v>
      </c>
      <c r="B237" s="28">
        <v>45737</v>
      </c>
      <c r="C237">
        <f t="shared" si="6"/>
        <v>28</v>
      </c>
      <c r="D237">
        <f t="shared" si="7"/>
        <v>45838</v>
      </c>
    </row>
    <row r="238" spans="1:4" x14ac:dyDescent="0.3">
      <c r="A238" s="28">
        <v>44975</v>
      </c>
      <c r="B238" s="28">
        <v>45737</v>
      </c>
      <c r="C238">
        <f t="shared" si="6"/>
        <v>25</v>
      </c>
      <c r="D238">
        <f t="shared" si="7"/>
        <v>45838</v>
      </c>
    </row>
    <row r="239" spans="1:4" x14ac:dyDescent="0.3">
      <c r="A239" s="28">
        <v>45234</v>
      </c>
      <c r="B239" s="28">
        <v>45739</v>
      </c>
      <c r="C239">
        <f t="shared" si="6"/>
        <v>16</v>
      </c>
      <c r="D239">
        <f t="shared" si="7"/>
        <v>45838</v>
      </c>
    </row>
    <row r="240" spans="1:4" x14ac:dyDescent="0.3">
      <c r="A240" s="28">
        <v>44560</v>
      </c>
      <c r="B240" s="28">
        <v>45740</v>
      </c>
      <c r="C240">
        <f t="shared" si="6"/>
        <v>38</v>
      </c>
      <c r="D240">
        <f t="shared" si="7"/>
        <v>45838</v>
      </c>
    </row>
    <row r="241" spans="1:4" x14ac:dyDescent="0.3">
      <c r="A241" s="28">
        <v>45288</v>
      </c>
      <c r="B241" s="28">
        <v>45743</v>
      </c>
      <c r="C241">
        <f t="shared" si="6"/>
        <v>14</v>
      </c>
      <c r="D241">
        <f t="shared" si="7"/>
        <v>45838</v>
      </c>
    </row>
    <row r="242" spans="1:4" x14ac:dyDescent="0.3">
      <c r="A242" s="28">
        <v>44704</v>
      </c>
      <c r="B242" s="28">
        <v>45745</v>
      </c>
      <c r="C242">
        <f t="shared" si="6"/>
        <v>34</v>
      </c>
      <c r="D242">
        <f t="shared" si="7"/>
        <v>45838</v>
      </c>
    </row>
    <row r="243" spans="1:4" x14ac:dyDescent="0.3">
      <c r="A243" s="28">
        <v>45171</v>
      </c>
      <c r="B243" s="28">
        <v>45746</v>
      </c>
      <c r="C243">
        <f t="shared" si="6"/>
        <v>18</v>
      </c>
      <c r="D243">
        <f t="shared" si="7"/>
        <v>45838</v>
      </c>
    </row>
    <row r="244" spans="1:4" x14ac:dyDescent="0.3">
      <c r="A244" s="28">
        <v>44522</v>
      </c>
      <c r="B244" s="28">
        <v>45746</v>
      </c>
      <c r="C244">
        <f t="shared" si="6"/>
        <v>40</v>
      </c>
      <c r="D244">
        <f t="shared" si="7"/>
        <v>45838</v>
      </c>
    </row>
    <row r="245" spans="1:4" x14ac:dyDescent="0.3">
      <c r="A245" s="28">
        <v>44618</v>
      </c>
      <c r="B245" s="28">
        <v>45748</v>
      </c>
      <c r="C245">
        <f t="shared" si="6"/>
        <v>37</v>
      </c>
      <c r="D245">
        <f t="shared" si="7"/>
        <v>45900</v>
      </c>
    </row>
    <row r="246" spans="1:4" x14ac:dyDescent="0.3">
      <c r="A246" s="28">
        <v>44953</v>
      </c>
      <c r="B246" s="28">
        <v>45749</v>
      </c>
      <c r="C246">
        <f t="shared" si="6"/>
        <v>26</v>
      </c>
      <c r="D246">
        <f t="shared" si="7"/>
        <v>45900</v>
      </c>
    </row>
    <row r="247" spans="1:4" x14ac:dyDescent="0.3">
      <c r="A247" s="28">
        <v>44511</v>
      </c>
      <c r="B247" s="28">
        <v>45755</v>
      </c>
      <c r="C247">
        <f t="shared" si="6"/>
        <v>40</v>
      </c>
      <c r="D247">
        <f t="shared" si="7"/>
        <v>45900</v>
      </c>
    </row>
    <row r="248" spans="1:4" x14ac:dyDescent="0.3">
      <c r="A248" s="28">
        <v>45346</v>
      </c>
      <c r="B248" s="28">
        <v>45756</v>
      </c>
      <c r="C248">
        <f t="shared" si="6"/>
        <v>13</v>
      </c>
      <c r="D248">
        <f t="shared" si="7"/>
        <v>45900</v>
      </c>
    </row>
    <row r="249" spans="1:4" x14ac:dyDescent="0.3">
      <c r="A249" s="28">
        <v>44909</v>
      </c>
      <c r="B249" s="28">
        <v>45758</v>
      </c>
      <c r="C249">
        <f t="shared" si="6"/>
        <v>27</v>
      </c>
      <c r="D249">
        <f t="shared" si="7"/>
        <v>45900</v>
      </c>
    </row>
    <row r="250" spans="1:4" x14ac:dyDescent="0.3">
      <c r="A250" s="28">
        <v>45088</v>
      </c>
      <c r="B250" s="28">
        <v>45758</v>
      </c>
      <c r="C250">
        <f t="shared" si="6"/>
        <v>22</v>
      </c>
      <c r="D250">
        <f t="shared" si="7"/>
        <v>45900</v>
      </c>
    </row>
    <row r="251" spans="1:4" x14ac:dyDescent="0.3">
      <c r="A251" s="28">
        <v>44878</v>
      </c>
      <c r="B251" s="28">
        <v>45758</v>
      </c>
      <c r="C251">
        <f t="shared" si="6"/>
        <v>28</v>
      </c>
      <c r="D251">
        <f t="shared" si="7"/>
        <v>45900</v>
      </c>
    </row>
  </sheetData>
  <mergeCells count="1">
    <mergeCell ref="H1:U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9E56-195E-4713-995E-5C1D293397D9}">
  <dimension ref="A1:N132"/>
  <sheetViews>
    <sheetView workbookViewId="0">
      <selection activeCell="R30" sqref="R30"/>
    </sheetView>
  </sheetViews>
  <sheetFormatPr defaultRowHeight="14.4" x14ac:dyDescent="0.3"/>
  <sheetData>
    <row r="1" spans="1:14" x14ac:dyDescent="0.3">
      <c r="A1" s="43" t="s">
        <v>426</v>
      </c>
      <c r="B1" s="44"/>
      <c r="C1" s="44"/>
      <c r="D1" s="44"/>
      <c r="E1" s="44"/>
      <c r="F1" s="44"/>
      <c r="G1" s="44"/>
      <c r="H1" s="44"/>
      <c r="I1" s="44"/>
      <c r="J1" s="44"/>
      <c r="K1" s="44"/>
      <c r="L1" s="44"/>
      <c r="M1" s="44"/>
      <c r="N1" s="44"/>
    </row>
    <row r="2" spans="1:14" x14ac:dyDescent="0.3">
      <c r="A2" t="str" cm="1">
        <f t="array" ref="A2:N132">_xlfn._xlws.FILTER(Table1[],Table1[Category]='Final Project Dataset'!$G$2)</f>
        <v>TRX0230</v>
      </c>
      <c r="B2">
        <v>45409</v>
      </c>
      <c r="C2" t="str">
        <v>CUST027</v>
      </c>
      <c r="D2" t="str">
        <v>George Adams</v>
      </c>
      <c r="E2" t="str">
        <v>P001</v>
      </c>
      <c r="F2" t="str">
        <v>Laptop</v>
      </c>
      <c r="G2" t="str">
        <v>Electronics</v>
      </c>
      <c r="H2">
        <v>1</v>
      </c>
      <c r="I2">
        <v>899.99</v>
      </c>
      <c r="J2" t="str">
        <v>Debit Card</v>
      </c>
      <c r="K2" t="str">
        <v>North</v>
      </c>
      <c r="L2" t="str">
        <v>Standard</v>
      </c>
      <c r="M2">
        <v>44920</v>
      </c>
      <c r="N2">
        <v>899.99</v>
      </c>
    </row>
    <row r="3" spans="1:14" x14ac:dyDescent="0.3">
      <c r="A3" t="str">
        <v>TRX0041</v>
      </c>
      <c r="B3">
        <v>45432</v>
      </c>
      <c r="C3" t="str">
        <v>CUST021</v>
      </c>
      <c r="D3" t="str">
        <v>Kevin Scott</v>
      </c>
      <c r="E3" t="str">
        <v>P001</v>
      </c>
      <c r="F3" t="str">
        <v>Laptop</v>
      </c>
      <c r="G3" t="str">
        <v>Electronics</v>
      </c>
      <c r="H3">
        <v>1</v>
      </c>
      <c r="I3">
        <v>899.99</v>
      </c>
      <c r="J3" t="str">
        <v>Credit Card</v>
      </c>
      <c r="K3" t="str">
        <v>West</v>
      </c>
      <c r="L3" t="str">
        <v>Premium</v>
      </c>
      <c r="M3">
        <v>44578</v>
      </c>
      <c r="N3">
        <v>899.99</v>
      </c>
    </row>
    <row r="4" spans="1:14" x14ac:dyDescent="0.3">
      <c r="A4" t="str">
        <v>TRX0117</v>
      </c>
      <c r="B4">
        <v>45444</v>
      </c>
      <c r="C4" t="str">
        <v>CUST017</v>
      </c>
      <c r="D4" t="str">
        <v>Charles Allen</v>
      </c>
      <c r="E4" t="str">
        <v>P010</v>
      </c>
      <c r="F4" t="str">
        <v>Keyboard</v>
      </c>
      <c r="G4" t="str">
        <v>Electronics</v>
      </c>
      <c r="H4">
        <v>1</v>
      </c>
      <c r="I4">
        <v>89.99</v>
      </c>
      <c r="J4" t="str">
        <v>Cash</v>
      </c>
      <c r="K4" t="str">
        <v>North</v>
      </c>
      <c r="L4" t="str">
        <v>Basic</v>
      </c>
      <c r="M4">
        <v>45141</v>
      </c>
      <c r="N4">
        <v>89.99</v>
      </c>
    </row>
    <row r="5" spans="1:14" x14ac:dyDescent="0.3">
      <c r="A5" t="str">
        <v>TRX0121</v>
      </c>
      <c r="B5">
        <v>45449</v>
      </c>
      <c r="C5" t="str">
        <v>CUST028</v>
      </c>
      <c r="D5" t="str">
        <v>Betty Campbell</v>
      </c>
      <c r="E5" t="str">
        <v>P010</v>
      </c>
      <c r="F5" t="str">
        <v>Keyboard</v>
      </c>
      <c r="G5" t="str">
        <v>Electronics</v>
      </c>
      <c r="H5">
        <v>1</v>
      </c>
      <c r="I5">
        <v>89.99</v>
      </c>
      <c r="J5" t="str">
        <v>Credit Card</v>
      </c>
      <c r="K5" t="str">
        <v>South</v>
      </c>
      <c r="L5" t="str">
        <v>Standard</v>
      </c>
      <c r="M5">
        <v>44582</v>
      </c>
      <c r="N5">
        <v>89.99</v>
      </c>
    </row>
    <row r="6" spans="1:14" x14ac:dyDescent="0.3">
      <c r="A6" t="str">
        <v>TRX0192</v>
      </c>
      <c r="B6">
        <v>45475</v>
      </c>
      <c r="C6" t="str">
        <v>CUST017</v>
      </c>
      <c r="D6" t="str">
        <v>Charles Allen</v>
      </c>
      <c r="E6" t="str">
        <v>P010</v>
      </c>
      <c r="F6" t="str">
        <v>Keyboard</v>
      </c>
      <c r="G6" t="str">
        <v>Electronics</v>
      </c>
      <c r="H6">
        <v>1</v>
      </c>
      <c r="I6">
        <v>89.99</v>
      </c>
      <c r="J6" t="str">
        <v>PayPal</v>
      </c>
      <c r="K6" t="str">
        <v>West</v>
      </c>
      <c r="L6" t="str">
        <v>Standard</v>
      </c>
      <c r="M6">
        <v>44802</v>
      </c>
      <c r="N6">
        <v>89.99</v>
      </c>
    </row>
    <row r="7" spans="1:14" x14ac:dyDescent="0.3">
      <c r="A7" t="str">
        <v>TRX0052</v>
      </c>
      <c r="B7">
        <v>45476</v>
      </c>
      <c r="C7" t="str">
        <v>CUST022</v>
      </c>
      <c r="D7" t="str">
        <v>Susan Green</v>
      </c>
      <c r="E7" t="str">
        <v>P010</v>
      </c>
      <c r="F7" t="str">
        <v>Keyboard</v>
      </c>
      <c r="G7" t="str">
        <v>Electronics</v>
      </c>
      <c r="H7">
        <v>1</v>
      </c>
      <c r="I7">
        <v>89.99</v>
      </c>
      <c r="J7" t="str">
        <v>Cash</v>
      </c>
      <c r="K7" t="str">
        <v>South</v>
      </c>
      <c r="L7" t="str">
        <v>Standard</v>
      </c>
      <c r="M7">
        <v>44611</v>
      </c>
      <c r="N7">
        <v>89.99</v>
      </c>
    </row>
    <row r="8" spans="1:14" x14ac:dyDescent="0.3">
      <c r="A8" t="str">
        <v>TRX0018</v>
      </c>
      <c r="B8">
        <v>45484</v>
      </c>
      <c r="C8" t="str">
        <v>CUST013</v>
      </c>
      <c r="D8" t="str">
        <v>Joseph Jackson</v>
      </c>
      <c r="E8" t="str">
        <v>P003</v>
      </c>
      <c r="F8" t="str">
        <v>Headphones</v>
      </c>
      <c r="G8" t="str">
        <v>Electronics</v>
      </c>
      <c r="H8">
        <v>1</v>
      </c>
      <c r="I8">
        <v>149.99</v>
      </c>
      <c r="J8" t="str">
        <v>Cash</v>
      </c>
      <c r="K8" t="str">
        <v>Central</v>
      </c>
      <c r="L8" t="str">
        <v>Standard</v>
      </c>
      <c r="M8">
        <v>44909</v>
      </c>
      <c r="N8">
        <v>149.99</v>
      </c>
    </row>
    <row r="9" spans="1:14" x14ac:dyDescent="0.3">
      <c r="A9" t="str">
        <v>TRX0162</v>
      </c>
      <c r="B9">
        <v>45496</v>
      </c>
      <c r="C9" t="str">
        <v>CUST040</v>
      </c>
      <c r="D9" t="str">
        <v>Sharon Butler</v>
      </c>
      <c r="E9" t="str">
        <v>P001</v>
      </c>
      <c r="F9" t="str">
        <v>Laptop</v>
      </c>
      <c r="G9" t="str">
        <v>Electronics</v>
      </c>
      <c r="H9">
        <v>1</v>
      </c>
      <c r="I9">
        <v>899.99</v>
      </c>
      <c r="J9" t="str">
        <v>Cash</v>
      </c>
      <c r="K9" t="str">
        <v>Central</v>
      </c>
      <c r="L9" t="str">
        <v>Standard</v>
      </c>
      <c r="M9">
        <v>45179</v>
      </c>
      <c r="N9">
        <v>899.99</v>
      </c>
    </row>
    <row r="10" spans="1:14" x14ac:dyDescent="0.3">
      <c r="A10" t="str">
        <v>TRX0101</v>
      </c>
      <c r="B10">
        <v>45513</v>
      </c>
      <c r="C10" t="str">
        <v>CUST010</v>
      </c>
      <c r="D10" t="str">
        <v>Maria Garcia</v>
      </c>
      <c r="E10" t="str">
        <v>P010</v>
      </c>
      <c r="F10" t="str">
        <v>Keyboard</v>
      </c>
      <c r="G10" t="str">
        <v>Electronics</v>
      </c>
      <c r="H10">
        <v>1</v>
      </c>
      <c r="I10">
        <v>89.99</v>
      </c>
      <c r="J10" t="str">
        <v>Credit Card</v>
      </c>
      <c r="K10" t="str">
        <v>North</v>
      </c>
      <c r="L10" t="str">
        <v>Standard</v>
      </c>
      <c r="M10">
        <v>45393</v>
      </c>
      <c r="N10">
        <v>89.99</v>
      </c>
    </row>
    <row r="11" spans="1:14" x14ac:dyDescent="0.3">
      <c r="A11" t="str">
        <v>TRX0058</v>
      </c>
      <c r="B11">
        <v>45532</v>
      </c>
      <c r="C11" t="str">
        <v>CUST047</v>
      </c>
      <c r="D11" t="str">
        <v>Gerald Murphy</v>
      </c>
      <c r="E11" t="str">
        <v>P002</v>
      </c>
      <c r="F11" t="str">
        <v>Smartphone</v>
      </c>
      <c r="G11" t="str">
        <v>Electronics</v>
      </c>
      <c r="H11">
        <v>1</v>
      </c>
      <c r="I11">
        <v>699.99</v>
      </c>
      <c r="J11" t="str">
        <v>Cash</v>
      </c>
      <c r="K11" t="str">
        <v>Central</v>
      </c>
      <c r="L11" t="str">
        <v>Premium</v>
      </c>
      <c r="M11">
        <v>44497</v>
      </c>
      <c r="N11">
        <v>699.99</v>
      </c>
    </row>
    <row r="12" spans="1:14" x14ac:dyDescent="0.3">
      <c r="A12" t="str">
        <v>TRX0099</v>
      </c>
      <c r="B12">
        <v>45537</v>
      </c>
      <c r="C12" t="str">
        <v>CUST034</v>
      </c>
      <c r="D12" t="str">
        <v>Carol Evans</v>
      </c>
      <c r="E12" t="str">
        <v>P009</v>
      </c>
      <c r="F12" t="str">
        <v>Monitor</v>
      </c>
      <c r="G12" t="str">
        <v>Electronics</v>
      </c>
      <c r="H12">
        <v>1</v>
      </c>
      <c r="I12">
        <v>249.99</v>
      </c>
      <c r="J12" t="str">
        <v>Credit Card</v>
      </c>
      <c r="K12" t="str">
        <v>West</v>
      </c>
      <c r="L12" t="str">
        <v>Premium</v>
      </c>
      <c r="M12">
        <v>44685</v>
      </c>
      <c r="N12">
        <v>249.99</v>
      </c>
    </row>
    <row r="13" spans="1:14" x14ac:dyDescent="0.3">
      <c r="A13" t="str">
        <v>TRX0074</v>
      </c>
      <c r="B13">
        <v>45537</v>
      </c>
      <c r="C13" t="str">
        <v>CUST023</v>
      </c>
      <c r="D13" t="str">
        <v>Paul Baker</v>
      </c>
      <c r="E13" t="str">
        <v>P009</v>
      </c>
      <c r="F13" t="str">
        <v>Monitor</v>
      </c>
      <c r="G13" t="str">
        <v>Electronics</v>
      </c>
      <c r="H13">
        <v>1</v>
      </c>
      <c r="I13">
        <v>249.99</v>
      </c>
      <c r="J13" t="str">
        <v>Debit Card</v>
      </c>
      <c r="K13" t="str">
        <v>North</v>
      </c>
      <c r="L13" t="str">
        <v>Premium</v>
      </c>
      <c r="M13">
        <v>45332</v>
      </c>
      <c r="N13">
        <v>249.99</v>
      </c>
    </row>
    <row r="14" spans="1:14" x14ac:dyDescent="0.3">
      <c r="A14" t="str">
        <v>TRX0111</v>
      </c>
      <c r="B14">
        <v>45554</v>
      </c>
      <c r="C14" t="str">
        <v>CUST011</v>
      </c>
      <c r="D14" t="str">
        <v>William White</v>
      </c>
      <c r="E14" t="str">
        <v>P003</v>
      </c>
      <c r="F14" t="str">
        <v>Headphones</v>
      </c>
      <c r="G14" t="str">
        <v>Electronics</v>
      </c>
      <c r="H14">
        <v>1</v>
      </c>
      <c r="I14">
        <v>149.99</v>
      </c>
      <c r="J14" t="str">
        <v>PayPal</v>
      </c>
      <c r="K14" t="str">
        <v>East</v>
      </c>
      <c r="L14" t="str">
        <v>Standard</v>
      </c>
      <c r="M14">
        <v>44482</v>
      </c>
      <c r="N14">
        <v>149.99</v>
      </c>
    </row>
    <row r="15" spans="1:14" x14ac:dyDescent="0.3">
      <c r="A15" t="str">
        <v>TRX0189</v>
      </c>
      <c r="B15">
        <v>45581</v>
      </c>
      <c r="C15" t="str">
        <v>CUST040</v>
      </c>
      <c r="D15" t="str">
        <v>Sharon Butler</v>
      </c>
      <c r="E15" t="str">
        <v>P001</v>
      </c>
      <c r="F15" t="str">
        <v>Laptop</v>
      </c>
      <c r="G15" t="str">
        <v>Electronics</v>
      </c>
      <c r="H15">
        <v>1</v>
      </c>
      <c r="I15">
        <v>899.99</v>
      </c>
      <c r="J15" t="str">
        <v>Credit Card</v>
      </c>
      <c r="K15" t="str">
        <v>East</v>
      </c>
      <c r="L15" t="str">
        <v>Standard</v>
      </c>
      <c r="M15">
        <v>45369</v>
      </c>
      <c r="N15">
        <v>899.99</v>
      </c>
    </row>
    <row r="16" spans="1:14" x14ac:dyDescent="0.3">
      <c r="A16" t="str">
        <v>TRX0090</v>
      </c>
      <c r="B16">
        <v>45605</v>
      </c>
      <c r="C16" t="str">
        <v>CUST020</v>
      </c>
      <c r="D16" t="str">
        <v>Margaret Wright</v>
      </c>
      <c r="E16" t="str">
        <v>P009</v>
      </c>
      <c r="F16" t="str">
        <v>Monitor</v>
      </c>
      <c r="G16" t="str">
        <v>Electronics</v>
      </c>
      <c r="H16">
        <v>1</v>
      </c>
      <c r="I16">
        <v>249.99</v>
      </c>
      <c r="J16" t="str">
        <v>Credit Card</v>
      </c>
      <c r="K16" t="str">
        <v>North</v>
      </c>
      <c r="L16" t="str">
        <v>Premium</v>
      </c>
      <c r="M16">
        <v>44828</v>
      </c>
      <c r="N16">
        <v>249.99</v>
      </c>
    </row>
    <row r="17" spans="1:14" x14ac:dyDescent="0.3">
      <c r="A17" t="str">
        <v>TRX0183</v>
      </c>
      <c r="B17">
        <v>45645</v>
      </c>
      <c r="C17" t="str">
        <v>CUST007</v>
      </c>
      <c r="D17" t="str">
        <v>David Martinez</v>
      </c>
      <c r="E17" t="str">
        <v>P010</v>
      </c>
      <c r="F17" t="str">
        <v>Keyboard</v>
      </c>
      <c r="G17" t="str">
        <v>Electronics</v>
      </c>
      <c r="H17">
        <v>1</v>
      </c>
      <c r="I17">
        <v>89.99</v>
      </c>
      <c r="J17" t="str">
        <v>Debit Card</v>
      </c>
      <c r="K17" t="str">
        <v>Central</v>
      </c>
      <c r="L17" t="str">
        <v>Standard</v>
      </c>
      <c r="M17">
        <v>44760</v>
      </c>
      <c r="N17">
        <v>89.99</v>
      </c>
    </row>
    <row r="18" spans="1:14" x14ac:dyDescent="0.3">
      <c r="A18" t="str">
        <v>TRX0156</v>
      </c>
      <c r="B18">
        <v>45655</v>
      </c>
      <c r="C18" t="str">
        <v>CUST009</v>
      </c>
      <c r="D18" t="str">
        <v>Robert Thomas</v>
      </c>
      <c r="E18" t="str">
        <v>P010</v>
      </c>
      <c r="F18" t="str">
        <v>Keyboard</v>
      </c>
      <c r="G18" t="str">
        <v>Electronics</v>
      </c>
      <c r="H18">
        <v>1</v>
      </c>
      <c r="I18">
        <v>89.99</v>
      </c>
      <c r="J18" t="str">
        <v>Credit Card</v>
      </c>
      <c r="K18" t="str">
        <v>South</v>
      </c>
      <c r="L18" t="str">
        <v>Premium</v>
      </c>
      <c r="M18">
        <v>44591</v>
      </c>
      <c r="N18">
        <v>89.99</v>
      </c>
    </row>
    <row r="19" spans="1:14" x14ac:dyDescent="0.3">
      <c r="A19" t="str">
        <v>TRX0207</v>
      </c>
      <c r="B19">
        <v>45657</v>
      </c>
      <c r="C19" t="str">
        <v>CUST025</v>
      </c>
      <c r="D19" t="str">
        <v>Mark Carter</v>
      </c>
      <c r="E19" t="str">
        <v>P001</v>
      </c>
      <c r="F19" t="str">
        <v>Laptop</v>
      </c>
      <c r="G19" t="str">
        <v>Electronics</v>
      </c>
      <c r="H19">
        <v>1</v>
      </c>
      <c r="I19">
        <v>899.99</v>
      </c>
      <c r="J19" t="str">
        <v>PayPal</v>
      </c>
      <c r="K19" t="str">
        <v>North</v>
      </c>
      <c r="L19" t="str">
        <v>Premium</v>
      </c>
      <c r="M19">
        <v>45050</v>
      </c>
      <c r="N19">
        <v>899.99</v>
      </c>
    </row>
    <row r="20" spans="1:14" x14ac:dyDescent="0.3">
      <c r="A20" t="str">
        <v>TRX0026</v>
      </c>
      <c r="B20">
        <v>45661</v>
      </c>
      <c r="C20" t="str">
        <v>CUST037</v>
      </c>
      <c r="D20" t="str">
        <v>Arthur Edwards</v>
      </c>
      <c r="E20" t="str">
        <v>P001</v>
      </c>
      <c r="F20" t="str">
        <v>Laptop</v>
      </c>
      <c r="G20" t="str">
        <v>Electronics</v>
      </c>
      <c r="H20">
        <v>1</v>
      </c>
      <c r="I20">
        <v>899.99</v>
      </c>
      <c r="J20" t="str">
        <v>PayPal</v>
      </c>
      <c r="K20" t="str">
        <v>North</v>
      </c>
      <c r="L20" t="str">
        <v>Standard</v>
      </c>
      <c r="M20">
        <v>44752</v>
      </c>
      <c r="N20">
        <v>899.99</v>
      </c>
    </row>
    <row r="21" spans="1:14" x14ac:dyDescent="0.3">
      <c r="A21" t="str">
        <v>TRX0151</v>
      </c>
      <c r="B21">
        <v>45710</v>
      </c>
      <c r="C21" t="str">
        <v>CUST040</v>
      </c>
      <c r="D21" t="str">
        <v>Sharon Butler</v>
      </c>
      <c r="E21" t="str">
        <v>P002</v>
      </c>
      <c r="F21" t="str">
        <v>Smartphone</v>
      </c>
      <c r="G21" t="str">
        <v>Electronics</v>
      </c>
      <c r="H21">
        <v>1</v>
      </c>
      <c r="I21">
        <v>699.99</v>
      </c>
      <c r="J21" t="str">
        <v>PayPal</v>
      </c>
      <c r="K21" t="str">
        <v>West</v>
      </c>
      <c r="L21" t="str">
        <v>Basic</v>
      </c>
      <c r="M21">
        <v>44934</v>
      </c>
      <c r="N21">
        <v>699.99</v>
      </c>
    </row>
    <row r="22" spans="1:14" x14ac:dyDescent="0.3">
      <c r="A22" t="str">
        <v>TRX0047</v>
      </c>
      <c r="B22">
        <v>45711</v>
      </c>
      <c r="C22" t="str">
        <v>CUST042</v>
      </c>
      <c r="D22" t="str">
        <v>Ruth Brooks</v>
      </c>
      <c r="E22" t="str">
        <v>P002</v>
      </c>
      <c r="F22" t="str">
        <v>Smartphone</v>
      </c>
      <c r="G22" t="str">
        <v>Electronics</v>
      </c>
      <c r="H22">
        <v>1</v>
      </c>
      <c r="I22">
        <v>699.99</v>
      </c>
      <c r="J22" t="str">
        <v>Cash</v>
      </c>
      <c r="K22" t="str">
        <v>North</v>
      </c>
      <c r="L22" t="str">
        <v>Premium</v>
      </c>
      <c r="M22">
        <v>44583</v>
      </c>
      <c r="N22">
        <v>699.99</v>
      </c>
    </row>
    <row r="23" spans="1:14" x14ac:dyDescent="0.3">
      <c r="A23" t="str">
        <v>TRX0038</v>
      </c>
      <c r="B23">
        <v>45726</v>
      </c>
      <c r="C23" t="str">
        <v>CUST035</v>
      </c>
      <c r="D23" t="str">
        <v>Harry Morgan</v>
      </c>
      <c r="E23" t="str">
        <v>P009</v>
      </c>
      <c r="F23" t="str">
        <v>Monitor</v>
      </c>
      <c r="G23" t="str">
        <v>Electronics</v>
      </c>
      <c r="H23">
        <v>1</v>
      </c>
      <c r="I23">
        <v>249.99</v>
      </c>
      <c r="J23" t="str">
        <v>Cash</v>
      </c>
      <c r="K23" t="str">
        <v>North</v>
      </c>
      <c r="L23" t="str">
        <v>Standard</v>
      </c>
      <c r="M23">
        <v>45117</v>
      </c>
      <c r="N23">
        <v>249.99</v>
      </c>
    </row>
    <row r="24" spans="1:14" x14ac:dyDescent="0.3">
      <c r="A24" t="str">
        <v>TRX0116</v>
      </c>
      <c r="B24">
        <v>45756</v>
      </c>
      <c r="C24" t="str">
        <v>CUST009</v>
      </c>
      <c r="D24" t="str">
        <v>Robert Thomas</v>
      </c>
      <c r="E24" t="str">
        <v>P010</v>
      </c>
      <c r="F24" t="str">
        <v>Keyboard</v>
      </c>
      <c r="G24" t="str">
        <v>Electronics</v>
      </c>
      <c r="H24">
        <v>1</v>
      </c>
      <c r="I24">
        <v>89.99</v>
      </c>
      <c r="J24" t="str">
        <v>Debit Card</v>
      </c>
      <c r="K24" t="str">
        <v>East</v>
      </c>
      <c r="L24" t="str">
        <v>Basic</v>
      </c>
      <c r="M24">
        <v>45346</v>
      </c>
      <c r="N24">
        <v>89.99</v>
      </c>
    </row>
    <row r="25" spans="1:14" x14ac:dyDescent="0.3">
      <c r="A25" t="str">
        <v>TRX0134</v>
      </c>
      <c r="B25">
        <v>45410</v>
      </c>
      <c r="C25" t="str">
        <v>CUST010</v>
      </c>
      <c r="D25" t="str">
        <v>Maria Garcia</v>
      </c>
      <c r="E25" t="str">
        <v>P002</v>
      </c>
      <c r="F25" t="str">
        <v>Smartphone</v>
      </c>
      <c r="G25" t="str">
        <v>Electronics</v>
      </c>
      <c r="H25">
        <v>2</v>
      </c>
      <c r="I25">
        <v>699.99</v>
      </c>
      <c r="J25" t="str">
        <v>Cash</v>
      </c>
      <c r="K25" t="str">
        <v>North</v>
      </c>
      <c r="L25" t="str">
        <v>Basic</v>
      </c>
      <c r="M25">
        <v>44781</v>
      </c>
      <c r="N25">
        <v>1399.98</v>
      </c>
    </row>
    <row r="26" spans="1:14" x14ac:dyDescent="0.3">
      <c r="A26" t="str">
        <v>TRX0115</v>
      </c>
      <c r="B26">
        <v>45459</v>
      </c>
      <c r="C26" t="str">
        <v>CUST012</v>
      </c>
      <c r="D26" t="str">
        <v>Patricia Moore</v>
      </c>
      <c r="E26" t="str">
        <v>P010</v>
      </c>
      <c r="F26" t="str">
        <v>Keyboard</v>
      </c>
      <c r="G26" t="str">
        <v>Electronics</v>
      </c>
      <c r="H26">
        <v>2</v>
      </c>
      <c r="I26">
        <v>89.99</v>
      </c>
      <c r="J26" t="str">
        <v>Credit Card</v>
      </c>
      <c r="K26" t="str">
        <v>South</v>
      </c>
      <c r="L26" t="str">
        <v>Premium</v>
      </c>
      <c r="M26">
        <v>44471</v>
      </c>
      <c r="N26">
        <v>179.98</v>
      </c>
    </row>
    <row r="27" spans="1:14" x14ac:dyDescent="0.3">
      <c r="A27" t="str">
        <v>TRX0007</v>
      </c>
      <c r="B27">
        <v>45469</v>
      </c>
      <c r="C27" t="str">
        <v>CUST009</v>
      </c>
      <c r="D27" t="str">
        <v>Robert Thomas</v>
      </c>
      <c r="E27" t="str">
        <v>P010</v>
      </c>
      <c r="F27" t="str">
        <v>Keyboard</v>
      </c>
      <c r="G27" t="str">
        <v>Electronics</v>
      </c>
      <c r="H27">
        <v>2</v>
      </c>
      <c r="I27">
        <v>89.99</v>
      </c>
      <c r="J27" t="str">
        <v>Cash</v>
      </c>
      <c r="K27" t="str">
        <v>West</v>
      </c>
      <c r="L27" t="str">
        <v>Basic</v>
      </c>
      <c r="M27">
        <v>44438</v>
      </c>
      <c r="N27">
        <v>179.98</v>
      </c>
    </row>
    <row r="28" spans="1:14" x14ac:dyDescent="0.3">
      <c r="A28" t="str">
        <v>TRX0096</v>
      </c>
      <c r="B28">
        <v>45474</v>
      </c>
      <c r="C28" t="str">
        <v>CUST002</v>
      </c>
      <c r="D28" t="str">
        <v>Emma Wilson</v>
      </c>
      <c r="E28" t="str">
        <v>P010</v>
      </c>
      <c r="F28" t="str">
        <v>Keyboard</v>
      </c>
      <c r="G28" t="str">
        <v>Electronics</v>
      </c>
      <c r="H28">
        <v>2</v>
      </c>
      <c r="I28">
        <v>89.99</v>
      </c>
      <c r="J28" t="str">
        <v>PayPal</v>
      </c>
      <c r="K28" t="str">
        <v>Central</v>
      </c>
      <c r="L28" t="str">
        <v>Premium</v>
      </c>
      <c r="M28">
        <v>45275</v>
      </c>
      <c r="N28">
        <v>179.98</v>
      </c>
    </row>
    <row r="29" spans="1:14" x14ac:dyDescent="0.3">
      <c r="A29" t="str">
        <v>TRX0113</v>
      </c>
      <c r="B29">
        <v>45481</v>
      </c>
      <c r="C29" t="str">
        <v>CUST003</v>
      </c>
      <c r="D29" t="str">
        <v>Michael Brown</v>
      </c>
      <c r="E29" t="str">
        <v>P002</v>
      </c>
      <c r="F29" t="str">
        <v>Smartphone</v>
      </c>
      <c r="G29" t="str">
        <v>Electronics</v>
      </c>
      <c r="H29">
        <v>2</v>
      </c>
      <c r="I29">
        <v>699.99</v>
      </c>
      <c r="J29" t="str">
        <v>PayPal</v>
      </c>
      <c r="K29" t="str">
        <v>East</v>
      </c>
      <c r="L29" t="str">
        <v>Premium</v>
      </c>
      <c r="M29">
        <v>45389</v>
      </c>
      <c r="N29">
        <v>1399.98</v>
      </c>
    </row>
    <row r="30" spans="1:14" x14ac:dyDescent="0.3">
      <c r="A30" t="str">
        <v>TRX0080</v>
      </c>
      <c r="B30">
        <v>45500</v>
      </c>
      <c r="C30" t="str">
        <v>CUST018</v>
      </c>
      <c r="D30" t="str">
        <v>Barbara Young</v>
      </c>
      <c r="E30" t="str">
        <v>P009</v>
      </c>
      <c r="F30" t="str">
        <v>Monitor</v>
      </c>
      <c r="G30" t="str">
        <v>Electronics</v>
      </c>
      <c r="H30">
        <v>2</v>
      </c>
      <c r="I30">
        <v>249.99</v>
      </c>
      <c r="J30" t="str">
        <v>Cash</v>
      </c>
      <c r="K30" t="str">
        <v>North</v>
      </c>
      <c r="L30" t="str">
        <v>Premium</v>
      </c>
      <c r="M30">
        <v>45164</v>
      </c>
      <c r="N30">
        <v>499.98</v>
      </c>
    </row>
    <row r="31" spans="1:14" x14ac:dyDescent="0.3">
      <c r="A31" t="str">
        <v>TRX0157</v>
      </c>
      <c r="B31">
        <v>45501</v>
      </c>
      <c r="C31" t="str">
        <v>CUST025</v>
      </c>
      <c r="D31" t="str">
        <v>Mark Carter</v>
      </c>
      <c r="E31" t="str">
        <v>P010</v>
      </c>
      <c r="F31" t="str">
        <v>Keyboard</v>
      </c>
      <c r="G31" t="str">
        <v>Electronics</v>
      </c>
      <c r="H31">
        <v>2</v>
      </c>
      <c r="I31">
        <v>89.99</v>
      </c>
      <c r="J31" t="str">
        <v>PayPal</v>
      </c>
      <c r="K31" t="str">
        <v>South</v>
      </c>
      <c r="L31" t="str">
        <v>Basic</v>
      </c>
      <c r="M31">
        <v>44976</v>
      </c>
      <c r="N31">
        <v>179.98</v>
      </c>
    </row>
    <row r="32" spans="1:14" x14ac:dyDescent="0.3">
      <c r="A32" t="str">
        <v>TRX0217</v>
      </c>
      <c r="B32">
        <v>45503</v>
      </c>
      <c r="C32" t="str">
        <v>CUST025</v>
      </c>
      <c r="D32" t="str">
        <v>Mark Carter</v>
      </c>
      <c r="E32" t="str">
        <v>P002</v>
      </c>
      <c r="F32" t="str">
        <v>Smartphone</v>
      </c>
      <c r="G32" t="str">
        <v>Electronics</v>
      </c>
      <c r="H32">
        <v>2</v>
      </c>
      <c r="I32">
        <v>699.99</v>
      </c>
      <c r="J32" t="str">
        <v>Credit Card</v>
      </c>
      <c r="K32" t="str">
        <v>North</v>
      </c>
      <c r="L32" t="str">
        <v>Premium</v>
      </c>
      <c r="M32">
        <v>44999</v>
      </c>
      <c r="N32">
        <v>1399.98</v>
      </c>
    </row>
    <row r="33" spans="1:14" x14ac:dyDescent="0.3">
      <c r="A33" t="str">
        <v>TRX0140</v>
      </c>
      <c r="B33">
        <v>45522</v>
      </c>
      <c r="C33" t="str">
        <v>CUST025</v>
      </c>
      <c r="D33" t="str">
        <v>Mark Carter</v>
      </c>
      <c r="E33" t="str">
        <v>P010</v>
      </c>
      <c r="F33" t="str">
        <v>Keyboard</v>
      </c>
      <c r="G33" t="str">
        <v>Electronics</v>
      </c>
      <c r="H33">
        <v>2</v>
      </c>
      <c r="I33">
        <v>89.99</v>
      </c>
      <c r="J33" t="str">
        <v>Cash</v>
      </c>
      <c r="K33" t="str">
        <v>East</v>
      </c>
      <c r="L33" t="str">
        <v>Premium</v>
      </c>
      <c r="M33">
        <v>44972</v>
      </c>
      <c r="N33">
        <v>179.98</v>
      </c>
    </row>
    <row r="34" spans="1:14" x14ac:dyDescent="0.3">
      <c r="A34" t="str">
        <v>TRX0037</v>
      </c>
      <c r="B34">
        <v>45528</v>
      </c>
      <c r="C34" t="str">
        <v>CUST035</v>
      </c>
      <c r="D34" t="str">
        <v>Harry Morgan</v>
      </c>
      <c r="E34" t="str">
        <v>P009</v>
      </c>
      <c r="F34" t="str">
        <v>Monitor</v>
      </c>
      <c r="G34" t="str">
        <v>Electronics</v>
      </c>
      <c r="H34">
        <v>2</v>
      </c>
      <c r="I34">
        <v>249.99</v>
      </c>
      <c r="J34" t="str">
        <v>Cash</v>
      </c>
      <c r="K34" t="str">
        <v>South</v>
      </c>
      <c r="L34" t="str">
        <v>Standard</v>
      </c>
      <c r="M34">
        <v>44572</v>
      </c>
      <c r="N34">
        <v>499.98</v>
      </c>
    </row>
    <row r="35" spans="1:14" x14ac:dyDescent="0.3">
      <c r="A35" t="str">
        <v>TRX0248</v>
      </c>
      <c r="B35">
        <v>45534</v>
      </c>
      <c r="C35" t="str">
        <v>CUST032</v>
      </c>
      <c r="D35" t="str">
        <v>Sandra Phillips</v>
      </c>
      <c r="E35" t="str">
        <v>P002</v>
      </c>
      <c r="F35" t="str">
        <v>Smartphone</v>
      </c>
      <c r="G35" t="str">
        <v>Electronics</v>
      </c>
      <c r="H35">
        <v>2</v>
      </c>
      <c r="I35">
        <v>699.99</v>
      </c>
      <c r="J35" t="str">
        <v>Credit Card</v>
      </c>
      <c r="K35" t="str">
        <v>North</v>
      </c>
      <c r="L35" t="str">
        <v>Premium</v>
      </c>
      <c r="M35">
        <v>44421</v>
      </c>
      <c r="N35">
        <v>1399.98</v>
      </c>
    </row>
    <row r="36" spans="1:14" x14ac:dyDescent="0.3">
      <c r="A36" t="str">
        <v>TRX0225</v>
      </c>
      <c r="B36">
        <v>45538</v>
      </c>
      <c r="C36" t="str">
        <v>CUST039</v>
      </c>
      <c r="D36" t="str">
        <v>Lawrence Reed</v>
      </c>
      <c r="E36" t="str">
        <v>P002</v>
      </c>
      <c r="F36" t="str">
        <v>Smartphone</v>
      </c>
      <c r="G36" t="str">
        <v>Electronics</v>
      </c>
      <c r="H36">
        <v>2</v>
      </c>
      <c r="I36">
        <v>699.99</v>
      </c>
      <c r="J36" t="str">
        <v>Debit Card</v>
      </c>
      <c r="K36" t="str">
        <v>Central</v>
      </c>
      <c r="L36" t="str">
        <v>Premium</v>
      </c>
      <c r="M36">
        <v>44870</v>
      </c>
      <c r="N36">
        <v>1399.98</v>
      </c>
    </row>
    <row r="37" spans="1:14" x14ac:dyDescent="0.3">
      <c r="A37" t="str">
        <v>TRX0211</v>
      </c>
      <c r="B37">
        <v>45548</v>
      </c>
      <c r="C37" t="str">
        <v>CUST046</v>
      </c>
      <c r="D37" t="str">
        <v>Kathleen Bennett</v>
      </c>
      <c r="E37" t="str">
        <v>P010</v>
      </c>
      <c r="F37" t="str">
        <v>Keyboard</v>
      </c>
      <c r="G37" t="str">
        <v>Electronics</v>
      </c>
      <c r="H37">
        <v>2</v>
      </c>
      <c r="I37">
        <v>89.99</v>
      </c>
      <c r="J37" t="str">
        <v>Credit Card</v>
      </c>
      <c r="K37" t="str">
        <v>South</v>
      </c>
      <c r="L37" t="str">
        <v>Premium</v>
      </c>
      <c r="M37">
        <v>44641</v>
      </c>
      <c r="N37">
        <v>179.98</v>
      </c>
    </row>
    <row r="38" spans="1:14" x14ac:dyDescent="0.3">
      <c r="A38" t="str">
        <v>TRX0195</v>
      </c>
      <c r="B38">
        <v>45551</v>
      </c>
      <c r="C38" t="str">
        <v>CUST026</v>
      </c>
      <c r="D38" t="str">
        <v>Karen Hill</v>
      </c>
      <c r="E38" t="str">
        <v>P009</v>
      </c>
      <c r="F38" t="str">
        <v>Monitor</v>
      </c>
      <c r="G38" t="str">
        <v>Electronics</v>
      </c>
      <c r="H38">
        <v>2</v>
      </c>
      <c r="I38">
        <v>249.99</v>
      </c>
      <c r="J38" t="str">
        <v>PayPal</v>
      </c>
      <c r="K38" t="str">
        <v>South</v>
      </c>
      <c r="L38" t="str">
        <v>Basic</v>
      </c>
      <c r="M38">
        <v>44993</v>
      </c>
      <c r="N38">
        <v>499.98</v>
      </c>
    </row>
    <row r="39" spans="1:14" x14ac:dyDescent="0.3">
      <c r="A39" t="str">
        <v>TRX0055</v>
      </c>
      <c r="B39">
        <v>45573</v>
      </c>
      <c r="C39" t="str">
        <v>CUST016</v>
      </c>
      <c r="D39" t="str">
        <v>Elizabeth Hall</v>
      </c>
      <c r="E39" t="str">
        <v>P002</v>
      </c>
      <c r="F39" t="str">
        <v>Smartphone</v>
      </c>
      <c r="G39" t="str">
        <v>Electronics</v>
      </c>
      <c r="H39">
        <v>2</v>
      </c>
      <c r="I39">
        <v>699.99</v>
      </c>
      <c r="J39" t="str">
        <v>Debit Card</v>
      </c>
      <c r="K39" t="str">
        <v>East</v>
      </c>
      <c r="L39" t="str">
        <v>Premium</v>
      </c>
      <c r="M39">
        <v>45274</v>
      </c>
      <c r="N39">
        <v>1399.98</v>
      </c>
    </row>
    <row r="40" spans="1:14" x14ac:dyDescent="0.3">
      <c r="A40" t="str">
        <v>TRX0190</v>
      </c>
      <c r="B40">
        <v>45583</v>
      </c>
      <c r="C40" t="str">
        <v>CUST039</v>
      </c>
      <c r="D40" t="str">
        <v>Lawrence Reed</v>
      </c>
      <c r="E40" t="str">
        <v>P003</v>
      </c>
      <c r="F40" t="str">
        <v>Headphones</v>
      </c>
      <c r="G40" t="str">
        <v>Electronics</v>
      </c>
      <c r="H40">
        <v>2</v>
      </c>
      <c r="I40">
        <v>149.99</v>
      </c>
      <c r="J40" t="str">
        <v>Credit Card</v>
      </c>
      <c r="K40" t="str">
        <v>West</v>
      </c>
      <c r="L40" t="str">
        <v>Basic</v>
      </c>
      <c r="M40">
        <v>44916</v>
      </c>
      <c r="N40">
        <v>299.98</v>
      </c>
    </row>
    <row r="41" spans="1:14" x14ac:dyDescent="0.3">
      <c r="A41" t="str">
        <v>TRX0095</v>
      </c>
      <c r="B41">
        <v>45588</v>
      </c>
      <c r="C41" t="str">
        <v>CUST046</v>
      </c>
      <c r="D41" t="str">
        <v>Kathleen Bennett</v>
      </c>
      <c r="E41" t="str">
        <v>P003</v>
      </c>
      <c r="F41" t="str">
        <v>Headphones</v>
      </c>
      <c r="G41" t="str">
        <v>Electronics</v>
      </c>
      <c r="H41">
        <v>2</v>
      </c>
      <c r="I41">
        <v>149.99</v>
      </c>
      <c r="J41" t="str">
        <v>PayPal</v>
      </c>
      <c r="K41" t="str">
        <v>Central</v>
      </c>
      <c r="L41" t="str">
        <v>Basic</v>
      </c>
      <c r="M41">
        <v>44473</v>
      </c>
      <c r="N41">
        <v>299.98</v>
      </c>
    </row>
    <row r="42" spans="1:14" x14ac:dyDescent="0.3">
      <c r="A42" t="str">
        <v>TRX0009</v>
      </c>
      <c r="B42">
        <v>45588</v>
      </c>
      <c r="C42" t="str">
        <v>CUST004</v>
      </c>
      <c r="D42" t="str">
        <v>Sarah Davis</v>
      </c>
      <c r="E42" t="str">
        <v>P002</v>
      </c>
      <c r="F42" t="str">
        <v>Smartphone</v>
      </c>
      <c r="G42" t="str">
        <v>Electronics</v>
      </c>
      <c r="H42">
        <v>2</v>
      </c>
      <c r="I42">
        <v>699.99</v>
      </c>
      <c r="J42" t="str">
        <v>Cash</v>
      </c>
      <c r="K42" t="str">
        <v>Central</v>
      </c>
      <c r="L42" t="str">
        <v>Basic</v>
      </c>
      <c r="M42">
        <v>44992</v>
      </c>
      <c r="N42">
        <v>1399.98</v>
      </c>
    </row>
    <row r="43" spans="1:14" x14ac:dyDescent="0.3">
      <c r="A43" t="str">
        <v>TRX0033</v>
      </c>
      <c r="B43">
        <v>45613</v>
      </c>
      <c r="C43" t="str">
        <v>CUST025</v>
      </c>
      <c r="D43" t="str">
        <v>Mark Carter</v>
      </c>
      <c r="E43" t="str">
        <v>P002</v>
      </c>
      <c r="F43" t="str">
        <v>Smartphone</v>
      </c>
      <c r="G43" t="str">
        <v>Electronics</v>
      </c>
      <c r="H43">
        <v>2</v>
      </c>
      <c r="I43">
        <v>699.99</v>
      </c>
      <c r="J43" t="str">
        <v>PayPal</v>
      </c>
      <c r="K43" t="str">
        <v>West</v>
      </c>
      <c r="L43" t="str">
        <v>Standard</v>
      </c>
      <c r="M43">
        <v>44770</v>
      </c>
      <c r="N43">
        <v>1399.98</v>
      </c>
    </row>
    <row r="44" spans="1:14" x14ac:dyDescent="0.3">
      <c r="A44" t="str">
        <v>TRX0133</v>
      </c>
      <c r="B44">
        <v>45627</v>
      </c>
      <c r="C44" t="str">
        <v>CUST013</v>
      </c>
      <c r="D44" t="str">
        <v>Joseph Jackson</v>
      </c>
      <c r="E44" t="str">
        <v>P003</v>
      </c>
      <c r="F44" t="str">
        <v>Headphones</v>
      </c>
      <c r="G44" t="str">
        <v>Electronics</v>
      </c>
      <c r="H44">
        <v>2</v>
      </c>
      <c r="I44">
        <v>149.99</v>
      </c>
      <c r="J44" t="str">
        <v>Cash</v>
      </c>
      <c r="K44" t="str">
        <v>South</v>
      </c>
      <c r="L44" t="str">
        <v>Premium</v>
      </c>
      <c r="M44">
        <v>44475</v>
      </c>
      <c r="N44">
        <v>299.98</v>
      </c>
    </row>
    <row r="45" spans="1:14" x14ac:dyDescent="0.3">
      <c r="A45" t="str">
        <v>TRX0180</v>
      </c>
      <c r="B45">
        <v>45635</v>
      </c>
      <c r="C45" t="str">
        <v>CUST036</v>
      </c>
      <c r="D45" t="str">
        <v>Nancy Collins</v>
      </c>
      <c r="E45" t="str">
        <v>P009</v>
      </c>
      <c r="F45" t="str">
        <v>Monitor</v>
      </c>
      <c r="G45" t="str">
        <v>Electronics</v>
      </c>
      <c r="H45">
        <v>2</v>
      </c>
      <c r="I45">
        <v>249.99</v>
      </c>
      <c r="J45" t="str">
        <v>Credit Card</v>
      </c>
      <c r="K45" t="str">
        <v>Central</v>
      </c>
      <c r="L45" t="str">
        <v>Premium</v>
      </c>
      <c r="M45">
        <v>44396</v>
      </c>
      <c r="N45">
        <v>499.98</v>
      </c>
    </row>
    <row r="46" spans="1:14" x14ac:dyDescent="0.3">
      <c r="A46" t="str">
        <v>TRX0032</v>
      </c>
      <c r="B46">
        <v>45638</v>
      </c>
      <c r="C46" t="str">
        <v>CUST041</v>
      </c>
      <c r="D46" t="str">
        <v>Peter Richardson</v>
      </c>
      <c r="E46" t="str">
        <v>P001</v>
      </c>
      <c r="F46" t="str">
        <v>Laptop</v>
      </c>
      <c r="G46" t="str">
        <v>Electronics</v>
      </c>
      <c r="H46">
        <v>2</v>
      </c>
      <c r="I46">
        <v>899.99</v>
      </c>
      <c r="J46" t="str">
        <v>Cash</v>
      </c>
      <c r="K46" t="str">
        <v>North</v>
      </c>
      <c r="L46" t="str">
        <v>Basic</v>
      </c>
      <c r="M46">
        <v>44406</v>
      </c>
      <c r="N46">
        <v>1799.98</v>
      </c>
    </row>
    <row r="47" spans="1:14" x14ac:dyDescent="0.3">
      <c r="A47" t="str">
        <v>TRX0164</v>
      </c>
      <c r="B47">
        <v>45648</v>
      </c>
      <c r="C47" t="str">
        <v>CUST014</v>
      </c>
      <c r="D47" t="str">
        <v>Linda Martin</v>
      </c>
      <c r="E47" t="str">
        <v>P003</v>
      </c>
      <c r="F47" t="str">
        <v>Headphones</v>
      </c>
      <c r="G47" t="str">
        <v>Electronics</v>
      </c>
      <c r="H47">
        <v>2</v>
      </c>
      <c r="I47">
        <v>149.99</v>
      </c>
      <c r="J47" t="str">
        <v>Debit Card</v>
      </c>
      <c r="K47" t="str">
        <v>West</v>
      </c>
      <c r="L47" t="str">
        <v>Premium</v>
      </c>
      <c r="M47">
        <v>45280</v>
      </c>
      <c r="N47">
        <v>299.98</v>
      </c>
    </row>
    <row r="48" spans="1:14" x14ac:dyDescent="0.3">
      <c r="A48" t="str">
        <v>TRX0056</v>
      </c>
      <c r="B48">
        <v>45660</v>
      </c>
      <c r="C48" t="str">
        <v>CUST019</v>
      </c>
      <c r="D48" t="str">
        <v>Daniel King</v>
      </c>
      <c r="E48" t="str">
        <v>P010</v>
      </c>
      <c r="F48" t="str">
        <v>Keyboard</v>
      </c>
      <c r="G48" t="str">
        <v>Electronics</v>
      </c>
      <c r="H48">
        <v>2</v>
      </c>
      <c r="I48">
        <v>89.99</v>
      </c>
      <c r="J48" t="str">
        <v>Credit Card</v>
      </c>
      <c r="K48" t="str">
        <v>South</v>
      </c>
      <c r="L48" t="str">
        <v>Premium</v>
      </c>
      <c r="M48">
        <v>44564</v>
      </c>
      <c r="N48">
        <v>179.98</v>
      </c>
    </row>
    <row r="49" spans="1:14" x14ac:dyDescent="0.3">
      <c r="A49" t="str">
        <v>TRX0107</v>
      </c>
      <c r="B49">
        <v>45671</v>
      </c>
      <c r="C49" t="str">
        <v>CUST030</v>
      </c>
      <c r="D49" t="str">
        <v>Helen Roberts</v>
      </c>
      <c r="E49" t="str">
        <v>P003</v>
      </c>
      <c r="F49" t="str">
        <v>Headphones</v>
      </c>
      <c r="G49" t="str">
        <v>Electronics</v>
      </c>
      <c r="H49">
        <v>2</v>
      </c>
      <c r="I49">
        <v>149.99</v>
      </c>
      <c r="J49" t="str">
        <v>Cash</v>
      </c>
      <c r="K49" t="str">
        <v>North</v>
      </c>
      <c r="L49" t="str">
        <v>Standard</v>
      </c>
      <c r="M49">
        <v>44913</v>
      </c>
      <c r="N49">
        <v>299.98</v>
      </c>
    </row>
    <row r="50" spans="1:14" x14ac:dyDescent="0.3">
      <c r="A50" t="str">
        <v>TRX0188</v>
      </c>
      <c r="B50">
        <v>45686</v>
      </c>
      <c r="C50" t="str">
        <v>CUST045</v>
      </c>
      <c r="D50" t="str">
        <v>Douglas Watson</v>
      </c>
      <c r="E50" t="str">
        <v>P002</v>
      </c>
      <c r="F50" t="str">
        <v>Smartphone</v>
      </c>
      <c r="G50" t="str">
        <v>Electronics</v>
      </c>
      <c r="H50">
        <v>2</v>
      </c>
      <c r="I50">
        <v>699.99</v>
      </c>
      <c r="J50" t="str">
        <v>Debit Card</v>
      </c>
      <c r="K50" t="str">
        <v>Central</v>
      </c>
      <c r="L50" t="str">
        <v>Premium</v>
      </c>
      <c r="M50">
        <v>44681</v>
      </c>
      <c r="N50">
        <v>1399.98</v>
      </c>
    </row>
    <row r="51" spans="1:14" x14ac:dyDescent="0.3">
      <c r="A51" t="str">
        <v>TRX0069</v>
      </c>
      <c r="B51">
        <v>45688</v>
      </c>
      <c r="C51" t="str">
        <v>CUST029</v>
      </c>
      <c r="D51" t="str">
        <v>Edward Mitchell</v>
      </c>
      <c r="E51" t="str">
        <v>P010</v>
      </c>
      <c r="F51" t="str">
        <v>Keyboard</v>
      </c>
      <c r="G51" t="str">
        <v>Electronics</v>
      </c>
      <c r="H51">
        <v>2</v>
      </c>
      <c r="I51">
        <v>89.99</v>
      </c>
      <c r="J51" t="str">
        <v>Debit Card</v>
      </c>
      <c r="K51" t="str">
        <v>South</v>
      </c>
      <c r="L51" t="str">
        <v>Basic</v>
      </c>
      <c r="M51">
        <v>44777</v>
      </c>
      <c r="N51">
        <v>179.98</v>
      </c>
    </row>
    <row r="52" spans="1:14" x14ac:dyDescent="0.3">
      <c r="A52" t="str">
        <v>TRX0196</v>
      </c>
      <c r="B52">
        <v>45704</v>
      </c>
      <c r="C52" t="str">
        <v>CUST023</v>
      </c>
      <c r="D52" t="str">
        <v>Paul Baker</v>
      </c>
      <c r="E52" t="str">
        <v>P010</v>
      </c>
      <c r="F52" t="str">
        <v>Keyboard</v>
      </c>
      <c r="G52" t="str">
        <v>Electronics</v>
      </c>
      <c r="H52">
        <v>2</v>
      </c>
      <c r="I52">
        <v>89.99</v>
      </c>
      <c r="J52" t="str">
        <v>PayPal</v>
      </c>
      <c r="K52" t="str">
        <v>Central</v>
      </c>
      <c r="L52" t="str">
        <v>Basic</v>
      </c>
      <c r="M52">
        <v>45257</v>
      </c>
      <c r="N52">
        <v>179.98</v>
      </c>
    </row>
    <row r="53" spans="1:14" x14ac:dyDescent="0.3">
      <c r="A53" t="str">
        <v>TRX0233</v>
      </c>
      <c r="B53">
        <v>45723</v>
      </c>
      <c r="C53" t="str">
        <v>CUST023</v>
      </c>
      <c r="D53" t="str">
        <v>Paul Baker</v>
      </c>
      <c r="E53" t="str">
        <v>P010</v>
      </c>
      <c r="F53" t="str">
        <v>Keyboard</v>
      </c>
      <c r="G53" t="str">
        <v>Electronics</v>
      </c>
      <c r="H53">
        <v>2</v>
      </c>
      <c r="I53">
        <v>89.99</v>
      </c>
      <c r="J53" t="str">
        <v>Credit Card</v>
      </c>
      <c r="K53" t="str">
        <v>West</v>
      </c>
      <c r="L53" t="str">
        <v>Premium</v>
      </c>
      <c r="M53">
        <v>45295</v>
      </c>
      <c r="N53">
        <v>179.98</v>
      </c>
    </row>
    <row r="54" spans="1:14" x14ac:dyDescent="0.3">
      <c r="A54" t="str">
        <v>TRX0250</v>
      </c>
      <c r="B54">
        <v>45746</v>
      </c>
      <c r="C54" t="str">
        <v>CUST026</v>
      </c>
      <c r="D54" t="str">
        <v>Karen Hill</v>
      </c>
      <c r="E54" t="str">
        <v>P010</v>
      </c>
      <c r="F54" t="str">
        <v>Keyboard</v>
      </c>
      <c r="G54" t="str">
        <v>Electronics</v>
      </c>
      <c r="H54">
        <v>2</v>
      </c>
      <c r="I54">
        <v>89.99</v>
      </c>
      <c r="J54" t="str">
        <v>Debit Card</v>
      </c>
      <c r="K54" t="str">
        <v>West</v>
      </c>
      <c r="L54" t="str">
        <v>Premium</v>
      </c>
      <c r="M54">
        <v>44522</v>
      </c>
      <c r="N54">
        <v>179.98</v>
      </c>
    </row>
    <row r="55" spans="1:14" x14ac:dyDescent="0.3">
      <c r="A55" t="str">
        <v>TRX0068</v>
      </c>
      <c r="B55">
        <v>45748</v>
      </c>
      <c r="C55" t="str">
        <v>CUST044</v>
      </c>
      <c r="D55" t="str">
        <v>Cynthia Price</v>
      </c>
      <c r="E55" t="str">
        <v>P002</v>
      </c>
      <c r="F55" t="str">
        <v>Smartphone</v>
      </c>
      <c r="G55" t="str">
        <v>Electronics</v>
      </c>
      <c r="H55">
        <v>2</v>
      </c>
      <c r="I55">
        <v>699.99</v>
      </c>
      <c r="J55" t="str">
        <v>PayPal</v>
      </c>
      <c r="K55" t="str">
        <v>North</v>
      </c>
      <c r="L55" t="str">
        <v>Standard</v>
      </c>
      <c r="M55">
        <v>44618</v>
      </c>
      <c r="N55">
        <v>1399.98</v>
      </c>
    </row>
    <row r="56" spans="1:14" x14ac:dyDescent="0.3">
      <c r="A56" t="str">
        <v>TRX0103</v>
      </c>
      <c r="B56">
        <v>45758</v>
      </c>
      <c r="C56" t="str">
        <v>CUST039</v>
      </c>
      <c r="D56" t="str">
        <v>Lawrence Reed</v>
      </c>
      <c r="E56" t="str">
        <v>P010</v>
      </c>
      <c r="F56" t="str">
        <v>Keyboard</v>
      </c>
      <c r="G56" t="str">
        <v>Electronics</v>
      </c>
      <c r="H56">
        <v>2</v>
      </c>
      <c r="I56">
        <v>89.99</v>
      </c>
      <c r="J56" t="str">
        <v>Debit Card</v>
      </c>
      <c r="K56" t="str">
        <v>East</v>
      </c>
      <c r="L56" t="str">
        <v>Basic</v>
      </c>
      <c r="M56">
        <v>45088</v>
      </c>
      <c r="N56">
        <v>179.98</v>
      </c>
    </row>
    <row r="57" spans="1:14" x14ac:dyDescent="0.3">
      <c r="A57" t="str">
        <v>TRX0155</v>
      </c>
      <c r="B57">
        <v>45393</v>
      </c>
      <c r="C57" t="str">
        <v>CUST023</v>
      </c>
      <c r="D57" t="str">
        <v>Paul Baker</v>
      </c>
      <c r="E57" t="str">
        <v>P009</v>
      </c>
      <c r="F57" t="str">
        <v>Monitor</v>
      </c>
      <c r="G57" t="str">
        <v>Electronics</v>
      </c>
      <c r="H57">
        <v>3</v>
      </c>
      <c r="I57">
        <v>249.99</v>
      </c>
      <c r="J57" t="str">
        <v>Cash</v>
      </c>
      <c r="K57" t="str">
        <v>Central</v>
      </c>
      <c r="L57" t="str">
        <v>Basic</v>
      </c>
      <c r="M57">
        <v>44425</v>
      </c>
      <c r="N57">
        <v>749.97</v>
      </c>
    </row>
    <row r="58" spans="1:14" x14ac:dyDescent="0.3">
      <c r="A58" t="str">
        <v>TRX0023</v>
      </c>
      <c r="B58">
        <v>45396</v>
      </c>
      <c r="C58" t="str">
        <v>CUST013</v>
      </c>
      <c r="D58" t="str">
        <v>Joseph Jackson</v>
      </c>
      <c r="E58" t="str">
        <v>P009</v>
      </c>
      <c r="F58" t="str">
        <v>Monitor</v>
      </c>
      <c r="G58" t="str">
        <v>Electronics</v>
      </c>
      <c r="H58">
        <v>3</v>
      </c>
      <c r="I58">
        <v>249.99</v>
      </c>
      <c r="J58" t="str">
        <v>Credit Card</v>
      </c>
      <c r="K58" t="str">
        <v>Central</v>
      </c>
      <c r="L58" t="str">
        <v>Premium</v>
      </c>
      <c r="M58">
        <v>44575</v>
      </c>
      <c r="N58">
        <v>749.97</v>
      </c>
    </row>
    <row r="59" spans="1:14" x14ac:dyDescent="0.3">
      <c r="A59" t="str">
        <v>TRX0135</v>
      </c>
      <c r="B59">
        <v>45405</v>
      </c>
      <c r="C59" t="str">
        <v>CUST009</v>
      </c>
      <c r="D59" t="str">
        <v>Robert Thomas</v>
      </c>
      <c r="E59" t="str">
        <v>P001</v>
      </c>
      <c r="F59" t="str">
        <v>Laptop</v>
      </c>
      <c r="G59" t="str">
        <v>Electronics</v>
      </c>
      <c r="H59">
        <v>3</v>
      </c>
      <c r="I59">
        <v>899.99</v>
      </c>
      <c r="J59" t="str">
        <v>PayPal</v>
      </c>
      <c r="K59" t="str">
        <v>East</v>
      </c>
      <c r="L59" t="str">
        <v>Standard</v>
      </c>
      <c r="M59">
        <v>45299</v>
      </c>
      <c r="N59">
        <v>2699.97</v>
      </c>
    </row>
    <row r="60" spans="1:14" x14ac:dyDescent="0.3">
      <c r="A60" t="str">
        <v>TRX0191</v>
      </c>
      <c r="B60">
        <v>45409</v>
      </c>
      <c r="C60" t="str">
        <v>CUST038</v>
      </c>
      <c r="D60" t="str">
        <v>Michelle Rogers</v>
      </c>
      <c r="E60" t="str">
        <v>P002</v>
      </c>
      <c r="F60" t="str">
        <v>Smartphone</v>
      </c>
      <c r="G60" t="str">
        <v>Electronics</v>
      </c>
      <c r="H60">
        <v>3</v>
      </c>
      <c r="I60">
        <v>699.99</v>
      </c>
      <c r="J60" t="str">
        <v>Credit Card</v>
      </c>
      <c r="K60" t="str">
        <v>West</v>
      </c>
      <c r="L60" t="str">
        <v>Basic</v>
      </c>
      <c r="M60">
        <v>44577</v>
      </c>
      <c r="N60">
        <v>2099.9699999999998</v>
      </c>
    </row>
    <row r="61" spans="1:14" x14ac:dyDescent="0.3">
      <c r="A61" t="str">
        <v>TRX0222</v>
      </c>
      <c r="B61">
        <v>45410</v>
      </c>
      <c r="C61" t="str">
        <v>CUST048</v>
      </c>
      <c r="D61" t="str">
        <v>Virginia Sanders</v>
      </c>
      <c r="E61" t="str">
        <v>P009</v>
      </c>
      <c r="F61" t="str">
        <v>Monitor</v>
      </c>
      <c r="G61" t="str">
        <v>Electronics</v>
      </c>
      <c r="H61">
        <v>3</v>
      </c>
      <c r="I61">
        <v>249.99</v>
      </c>
      <c r="J61" t="str">
        <v>Credit Card</v>
      </c>
      <c r="K61" t="str">
        <v>North</v>
      </c>
      <c r="L61" t="str">
        <v>Premium</v>
      </c>
      <c r="M61">
        <v>45224</v>
      </c>
      <c r="N61">
        <v>749.97</v>
      </c>
    </row>
    <row r="62" spans="1:14" x14ac:dyDescent="0.3">
      <c r="A62" t="str">
        <v>TRX0202</v>
      </c>
      <c r="B62">
        <v>45441</v>
      </c>
      <c r="C62" t="str">
        <v>CUST035</v>
      </c>
      <c r="D62" t="str">
        <v>Harry Morgan</v>
      </c>
      <c r="E62" t="str">
        <v>P010</v>
      </c>
      <c r="F62" t="str">
        <v>Keyboard</v>
      </c>
      <c r="G62" t="str">
        <v>Electronics</v>
      </c>
      <c r="H62">
        <v>3</v>
      </c>
      <c r="I62">
        <v>89.99</v>
      </c>
      <c r="J62" t="str">
        <v>PayPal</v>
      </c>
      <c r="K62" t="str">
        <v>Central</v>
      </c>
      <c r="L62" t="str">
        <v>Premium</v>
      </c>
      <c r="M62">
        <v>45120</v>
      </c>
      <c r="N62">
        <v>269.97000000000003</v>
      </c>
    </row>
    <row r="63" spans="1:14" x14ac:dyDescent="0.3">
      <c r="A63" t="str">
        <v>TRX0184</v>
      </c>
      <c r="B63">
        <v>45471</v>
      </c>
      <c r="C63" t="str">
        <v>CUST046</v>
      </c>
      <c r="D63" t="str">
        <v>Kathleen Bennett</v>
      </c>
      <c r="E63" t="str">
        <v>P002</v>
      </c>
      <c r="F63" t="str">
        <v>Smartphone</v>
      </c>
      <c r="G63" t="str">
        <v>Electronics</v>
      </c>
      <c r="H63">
        <v>3</v>
      </c>
      <c r="I63">
        <v>699.99</v>
      </c>
      <c r="J63" t="str">
        <v>Credit Card</v>
      </c>
      <c r="K63" t="str">
        <v>East</v>
      </c>
      <c r="L63" t="str">
        <v>Premium</v>
      </c>
      <c r="M63">
        <v>45102</v>
      </c>
      <c r="N63">
        <v>2099.9699999999998</v>
      </c>
    </row>
    <row r="64" spans="1:14" x14ac:dyDescent="0.3">
      <c r="A64" t="str">
        <v>TRX0098</v>
      </c>
      <c r="B64">
        <v>45517</v>
      </c>
      <c r="C64" t="str">
        <v>CUST026</v>
      </c>
      <c r="D64" t="str">
        <v>Karen Hill</v>
      </c>
      <c r="E64" t="str">
        <v>P009</v>
      </c>
      <c r="F64" t="str">
        <v>Monitor</v>
      </c>
      <c r="G64" t="str">
        <v>Electronics</v>
      </c>
      <c r="H64">
        <v>3</v>
      </c>
      <c r="I64">
        <v>249.99</v>
      </c>
      <c r="J64" t="str">
        <v>PayPal</v>
      </c>
      <c r="K64" t="str">
        <v>North</v>
      </c>
      <c r="L64" t="str">
        <v>Premium</v>
      </c>
      <c r="M64">
        <v>44465</v>
      </c>
      <c r="N64">
        <v>749.97</v>
      </c>
    </row>
    <row r="65" spans="1:14" x14ac:dyDescent="0.3">
      <c r="A65" t="str">
        <v>TRX0031</v>
      </c>
      <c r="B65">
        <v>45523</v>
      </c>
      <c r="C65" t="str">
        <v>CUST036</v>
      </c>
      <c r="D65" t="str">
        <v>Nancy Collins</v>
      </c>
      <c r="E65" t="str">
        <v>P003</v>
      </c>
      <c r="F65" t="str">
        <v>Headphones</v>
      </c>
      <c r="G65" t="str">
        <v>Electronics</v>
      </c>
      <c r="H65">
        <v>3</v>
      </c>
      <c r="I65">
        <v>149.99</v>
      </c>
      <c r="J65" t="str">
        <v>PayPal</v>
      </c>
      <c r="K65" t="str">
        <v>East</v>
      </c>
      <c r="L65" t="str">
        <v>Basic</v>
      </c>
      <c r="M65">
        <v>44574</v>
      </c>
      <c r="N65">
        <v>449.97</v>
      </c>
    </row>
    <row r="66" spans="1:14" x14ac:dyDescent="0.3">
      <c r="A66" t="str">
        <v>TRX0170</v>
      </c>
      <c r="B66">
        <v>45532</v>
      </c>
      <c r="C66" t="str">
        <v>CUST034</v>
      </c>
      <c r="D66" t="str">
        <v>Carol Evans</v>
      </c>
      <c r="E66" t="str">
        <v>P003</v>
      </c>
      <c r="F66" t="str">
        <v>Headphones</v>
      </c>
      <c r="G66" t="str">
        <v>Electronics</v>
      </c>
      <c r="H66">
        <v>3</v>
      </c>
      <c r="I66">
        <v>149.99</v>
      </c>
      <c r="J66" t="str">
        <v>Cash</v>
      </c>
      <c r="K66" t="str">
        <v>West</v>
      </c>
      <c r="L66" t="str">
        <v>Premium</v>
      </c>
      <c r="M66">
        <v>45212</v>
      </c>
      <c r="N66">
        <v>449.97</v>
      </c>
    </row>
    <row r="67" spans="1:14" x14ac:dyDescent="0.3">
      <c r="A67" t="str">
        <v>TRX0177</v>
      </c>
      <c r="B67">
        <v>45559</v>
      </c>
      <c r="C67" t="str">
        <v>CUST032</v>
      </c>
      <c r="D67" t="str">
        <v>Sandra Phillips</v>
      </c>
      <c r="E67" t="str">
        <v>P001</v>
      </c>
      <c r="F67" t="str">
        <v>Laptop</v>
      </c>
      <c r="G67" t="str">
        <v>Electronics</v>
      </c>
      <c r="H67">
        <v>3</v>
      </c>
      <c r="I67">
        <v>899.99</v>
      </c>
      <c r="J67" t="str">
        <v>Credit Card</v>
      </c>
      <c r="K67" t="str">
        <v>North</v>
      </c>
      <c r="L67" t="str">
        <v>Standard</v>
      </c>
      <c r="M67">
        <v>45157</v>
      </c>
      <c r="N67">
        <v>2699.97</v>
      </c>
    </row>
    <row r="68" spans="1:14" x14ac:dyDescent="0.3">
      <c r="A68" t="str">
        <v>TRX0158</v>
      </c>
      <c r="B68">
        <v>45579</v>
      </c>
      <c r="C68" t="str">
        <v>CUST027</v>
      </c>
      <c r="D68" t="str">
        <v>George Adams</v>
      </c>
      <c r="E68" t="str">
        <v>P001</v>
      </c>
      <c r="F68" t="str">
        <v>Laptop</v>
      </c>
      <c r="G68" t="str">
        <v>Electronics</v>
      </c>
      <c r="H68">
        <v>3</v>
      </c>
      <c r="I68">
        <v>899.99</v>
      </c>
      <c r="J68" t="str">
        <v>PayPal</v>
      </c>
      <c r="K68" t="str">
        <v>West</v>
      </c>
      <c r="L68" t="str">
        <v>Basic</v>
      </c>
      <c r="M68">
        <v>45215</v>
      </c>
      <c r="N68">
        <v>2699.97</v>
      </c>
    </row>
    <row r="69" spans="1:14" x14ac:dyDescent="0.3">
      <c r="A69" t="str">
        <v>TRX0079</v>
      </c>
      <c r="B69">
        <v>45586</v>
      </c>
      <c r="C69" t="str">
        <v>CUST039</v>
      </c>
      <c r="D69" t="str">
        <v>Lawrence Reed</v>
      </c>
      <c r="E69" t="str">
        <v>P010</v>
      </c>
      <c r="F69" t="str">
        <v>Keyboard</v>
      </c>
      <c r="G69" t="str">
        <v>Electronics</v>
      </c>
      <c r="H69">
        <v>3</v>
      </c>
      <c r="I69">
        <v>89.99</v>
      </c>
      <c r="J69" t="str">
        <v>PayPal</v>
      </c>
      <c r="K69" t="str">
        <v>Central</v>
      </c>
      <c r="L69" t="str">
        <v>Basic</v>
      </c>
      <c r="M69">
        <v>44551</v>
      </c>
      <c r="N69">
        <v>269.97000000000003</v>
      </c>
    </row>
    <row r="70" spans="1:14" x14ac:dyDescent="0.3">
      <c r="A70" t="str">
        <v>TRX0153</v>
      </c>
      <c r="B70">
        <v>45592</v>
      </c>
      <c r="C70" t="str">
        <v>CUST049</v>
      </c>
      <c r="D70" t="str">
        <v>Raymond Ross</v>
      </c>
      <c r="E70" t="str">
        <v>P010</v>
      </c>
      <c r="F70" t="str">
        <v>Keyboard</v>
      </c>
      <c r="G70" t="str">
        <v>Electronics</v>
      </c>
      <c r="H70">
        <v>3</v>
      </c>
      <c r="I70">
        <v>89.99</v>
      </c>
      <c r="J70" t="str">
        <v>Credit Card</v>
      </c>
      <c r="K70" t="str">
        <v>North</v>
      </c>
      <c r="L70" t="str">
        <v>Standard</v>
      </c>
      <c r="M70">
        <v>44615</v>
      </c>
      <c r="N70">
        <v>269.97000000000003</v>
      </c>
    </row>
    <row r="71" spans="1:14" x14ac:dyDescent="0.3">
      <c r="A71" t="str">
        <v>TRX0060</v>
      </c>
      <c r="B71">
        <v>45603</v>
      </c>
      <c r="C71" t="str">
        <v>CUST012</v>
      </c>
      <c r="D71" t="str">
        <v>Patricia Moore</v>
      </c>
      <c r="E71" t="str">
        <v>P010</v>
      </c>
      <c r="F71" t="str">
        <v>Keyboard</v>
      </c>
      <c r="G71" t="str">
        <v>Electronics</v>
      </c>
      <c r="H71">
        <v>3</v>
      </c>
      <c r="I71">
        <v>89.99</v>
      </c>
      <c r="J71" t="str">
        <v>Credit Card</v>
      </c>
      <c r="K71" t="str">
        <v>North</v>
      </c>
      <c r="L71" t="str">
        <v>Premium</v>
      </c>
      <c r="M71">
        <v>44420</v>
      </c>
      <c r="N71">
        <v>269.97000000000003</v>
      </c>
    </row>
    <row r="72" spans="1:14" x14ac:dyDescent="0.3">
      <c r="A72" t="str">
        <v>TRX0035</v>
      </c>
      <c r="B72">
        <v>45607</v>
      </c>
      <c r="C72" t="str">
        <v>CUST041</v>
      </c>
      <c r="D72" t="str">
        <v>Peter Richardson</v>
      </c>
      <c r="E72" t="str">
        <v>P003</v>
      </c>
      <c r="F72" t="str">
        <v>Headphones</v>
      </c>
      <c r="G72" t="str">
        <v>Electronics</v>
      </c>
      <c r="H72">
        <v>3</v>
      </c>
      <c r="I72">
        <v>149.99</v>
      </c>
      <c r="J72" t="str">
        <v>Cash</v>
      </c>
      <c r="K72" t="str">
        <v>North</v>
      </c>
      <c r="L72" t="str">
        <v>Basic</v>
      </c>
      <c r="M72">
        <v>44769</v>
      </c>
      <c r="N72">
        <v>449.97</v>
      </c>
    </row>
    <row r="73" spans="1:14" x14ac:dyDescent="0.3">
      <c r="A73" t="str">
        <v>TRX0148</v>
      </c>
      <c r="B73">
        <v>45619</v>
      </c>
      <c r="C73" t="str">
        <v>CUST004</v>
      </c>
      <c r="D73" t="str">
        <v>Sarah Davis</v>
      </c>
      <c r="E73" t="str">
        <v>P002</v>
      </c>
      <c r="F73" t="str">
        <v>Smartphone</v>
      </c>
      <c r="G73" t="str">
        <v>Electronics</v>
      </c>
      <c r="H73">
        <v>3</v>
      </c>
      <c r="I73">
        <v>699.99</v>
      </c>
      <c r="J73" t="str">
        <v>PayPal</v>
      </c>
      <c r="K73" t="str">
        <v>West</v>
      </c>
      <c r="L73" t="str">
        <v>Standard</v>
      </c>
      <c r="M73">
        <v>44583</v>
      </c>
      <c r="N73">
        <v>2099.9699999999998</v>
      </c>
    </row>
    <row r="74" spans="1:14" x14ac:dyDescent="0.3">
      <c r="A74" t="str">
        <v>TRX0125</v>
      </c>
      <c r="B74">
        <v>45666</v>
      </c>
      <c r="C74" t="str">
        <v>CUST026</v>
      </c>
      <c r="D74" t="str">
        <v>Karen Hill</v>
      </c>
      <c r="E74" t="str">
        <v>P002</v>
      </c>
      <c r="F74" t="str">
        <v>Smartphone</v>
      </c>
      <c r="G74" t="str">
        <v>Electronics</v>
      </c>
      <c r="H74">
        <v>3</v>
      </c>
      <c r="I74">
        <v>699.99</v>
      </c>
      <c r="J74" t="str">
        <v>Credit Card</v>
      </c>
      <c r="K74" t="str">
        <v>Central</v>
      </c>
      <c r="L74" t="str">
        <v>Premium</v>
      </c>
      <c r="M74">
        <v>45105</v>
      </c>
      <c r="N74">
        <v>2099.9699999999998</v>
      </c>
    </row>
    <row r="75" spans="1:14" x14ac:dyDescent="0.3">
      <c r="A75" t="str">
        <v>TRX0238</v>
      </c>
      <c r="B75">
        <v>45668</v>
      </c>
      <c r="C75" t="str">
        <v>CUST038</v>
      </c>
      <c r="D75" t="str">
        <v>Michelle Rogers</v>
      </c>
      <c r="E75" t="str">
        <v>P002</v>
      </c>
      <c r="F75" t="str">
        <v>Smartphone</v>
      </c>
      <c r="G75" t="str">
        <v>Electronics</v>
      </c>
      <c r="H75">
        <v>3</v>
      </c>
      <c r="I75">
        <v>699.99</v>
      </c>
      <c r="J75" t="str">
        <v>Cash</v>
      </c>
      <c r="K75" t="str">
        <v>North</v>
      </c>
      <c r="L75" t="str">
        <v>Premium</v>
      </c>
      <c r="M75">
        <v>44602</v>
      </c>
      <c r="N75">
        <v>2099.9699999999998</v>
      </c>
    </row>
    <row r="76" spans="1:14" x14ac:dyDescent="0.3">
      <c r="A76" t="str">
        <v>TRX0166</v>
      </c>
      <c r="B76">
        <v>45688</v>
      </c>
      <c r="C76" t="str">
        <v>CUST003</v>
      </c>
      <c r="D76" t="str">
        <v>Michael Brown</v>
      </c>
      <c r="E76" t="str">
        <v>P010</v>
      </c>
      <c r="F76" t="str">
        <v>Keyboard</v>
      </c>
      <c r="G76" t="str">
        <v>Electronics</v>
      </c>
      <c r="H76">
        <v>3</v>
      </c>
      <c r="I76">
        <v>89.99</v>
      </c>
      <c r="J76" t="str">
        <v>Debit Card</v>
      </c>
      <c r="K76" t="str">
        <v>South</v>
      </c>
      <c r="L76" t="str">
        <v>Premium</v>
      </c>
      <c r="M76">
        <v>45307</v>
      </c>
      <c r="N76">
        <v>269.97000000000003</v>
      </c>
    </row>
    <row r="77" spans="1:14" x14ac:dyDescent="0.3">
      <c r="A77" t="str">
        <v>TRX0214</v>
      </c>
      <c r="B77">
        <v>45708</v>
      </c>
      <c r="C77" t="str">
        <v>CUST018</v>
      </c>
      <c r="D77" t="str">
        <v>Barbara Young</v>
      </c>
      <c r="E77" t="str">
        <v>P001</v>
      </c>
      <c r="F77" t="str">
        <v>Laptop</v>
      </c>
      <c r="G77" t="str">
        <v>Electronics</v>
      </c>
      <c r="H77">
        <v>3</v>
      </c>
      <c r="I77">
        <v>899.99</v>
      </c>
      <c r="J77" t="str">
        <v>Cash</v>
      </c>
      <c r="K77" t="str">
        <v>East</v>
      </c>
      <c r="L77" t="str">
        <v>Standard</v>
      </c>
      <c r="M77">
        <v>44613</v>
      </c>
      <c r="N77">
        <v>2699.97</v>
      </c>
    </row>
    <row r="78" spans="1:14" x14ac:dyDescent="0.3">
      <c r="A78" t="str">
        <v>TRX0124</v>
      </c>
      <c r="B78">
        <v>45737</v>
      </c>
      <c r="C78" t="str">
        <v>CUST040</v>
      </c>
      <c r="D78" t="str">
        <v>Sharon Butler</v>
      </c>
      <c r="E78" t="str">
        <v>P001</v>
      </c>
      <c r="F78" t="str">
        <v>Laptop</v>
      </c>
      <c r="G78" t="str">
        <v>Electronics</v>
      </c>
      <c r="H78">
        <v>3</v>
      </c>
      <c r="I78">
        <v>899.99</v>
      </c>
      <c r="J78" t="str">
        <v>Debit Card</v>
      </c>
      <c r="K78" t="str">
        <v>North</v>
      </c>
      <c r="L78" t="str">
        <v>Premium</v>
      </c>
      <c r="M78">
        <v>44876</v>
      </c>
      <c r="N78">
        <v>2699.97</v>
      </c>
    </row>
    <row r="79" spans="1:14" x14ac:dyDescent="0.3">
      <c r="A79" t="str">
        <v>TRX0013</v>
      </c>
      <c r="B79">
        <v>45737</v>
      </c>
      <c r="C79" t="str">
        <v>CUST024</v>
      </c>
      <c r="D79" t="str">
        <v>Dorothy Nelson</v>
      </c>
      <c r="E79" t="str">
        <v>P001</v>
      </c>
      <c r="F79" t="str">
        <v>Laptop</v>
      </c>
      <c r="G79" t="str">
        <v>Electronics</v>
      </c>
      <c r="H79">
        <v>3</v>
      </c>
      <c r="I79">
        <v>899.99</v>
      </c>
      <c r="J79" t="str">
        <v>PayPal</v>
      </c>
      <c r="K79" t="str">
        <v>North</v>
      </c>
      <c r="L79" t="str">
        <v>Basic</v>
      </c>
      <c r="M79">
        <v>44975</v>
      </c>
      <c r="N79">
        <v>2699.97</v>
      </c>
    </row>
    <row r="80" spans="1:14" x14ac:dyDescent="0.3">
      <c r="A80" t="str">
        <v>TRX0144</v>
      </c>
      <c r="B80">
        <v>45749</v>
      </c>
      <c r="C80" t="str">
        <v>CUST029</v>
      </c>
      <c r="D80" t="str">
        <v>Edward Mitchell</v>
      </c>
      <c r="E80" t="str">
        <v>P001</v>
      </c>
      <c r="F80" t="str">
        <v>Laptop</v>
      </c>
      <c r="G80" t="str">
        <v>Electronics</v>
      </c>
      <c r="H80">
        <v>3</v>
      </c>
      <c r="I80">
        <v>899.99</v>
      </c>
      <c r="J80" t="str">
        <v>Cash</v>
      </c>
      <c r="K80" t="str">
        <v>Central</v>
      </c>
      <c r="L80" t="str">
        <v>Standard</v>
      </c>
      <c r="M80">
        <v>44953</v>
      </c>
      <c r="N80">
        <v>2699.97</v>
      </c>
    </row>
    <row r="81" spans="1:14" x14ac:dyDescent="0.3">
      <c r="A81" t="str">
        <v>TRX0120</v>
      </c>
      <c r="B81">
        <v>45758</v>
      </c>
      <c r="C81" t="str">
        <v>CUST045</v>
      </c>
      <c r="D81" t="str">
        <v>Douglas Watson</v>
      </c>
      <c r="E81" t="str">
        <v>P002</v>
      </c>
      <c r="F81" t="str">
        <v>Smartphone</v>
      </c>
      <c r="G81" t="str">
        <v>Electronics</v>
      </c>
      <c r="H81">
        <v>3</v>
      </c>
      <c r="I81">
        <v>699.99</v>
      </c>
      <c r="J81" t="str">
        <v>PayPal</v>
      </c>
      <c r="K81" t="str">
        <v>North</v>
      </c>
      <c r="L81" t="str">
        <v>Basic</v>
      </c>
      <c r="M81">
        <v>44909</v>
      </c>
      <c r="N81">
        <v>2099.9699999999998</v>
      </c>
    </row>
    <row r="82" spans="1:14" x14ac:dyDescent="0.3">
      <c r="A82" t="str">
        <v>TRX0064</v>
      </c>
      <c r="B82">
        <v>45758</v>
      </c>
      <c r="C82" t="str">
        <v>CUST031</v>
      </c>
      <c r="D82" t="str">
        <v>Steven Turner</v>
      </c>
      <c r="E82" t="str">
        <v>P010</v>
      </c>
      <c r="F82" t="str">
        <v>Keyboard</v>
      </c>
      <c r="G82" t="str">
        <v>Electronics</v>
      </c>
      <c r="H82">
        <v>3</v>
      </c>
      <c r="I82">
        <v>89.99</v>
      </c>
      <c r="J82" t="str">
        <v>Debit Card</v>
      </c>
      <c r="K82" t="str">
        <v>North</v>
      </c>
      <c r="L82" t="str">
        <v>Premium</v>
      </c>
      <c r="M82">
        <v>44878</v>
      </c>
      <c r="N82">
        <v>269.97000000000003</v>
      </c>
    </row>
    <row r="83" spans="1:14" x14ac:dyDescent="0.3">
      <c r="A83" t="str">
        <v>TRX0122</v>
      </c>
      <c r="B83">
        <v>45410</v>
      </c>
      <c r="C83" t="str">
        <v>CUST025</v>
      </c>
      <c r="D83" t="str">
        <v>Mark Carter</v>
      </c>
      <c r="E83" t="str">
        <v>P001</v>
      </c>
      <c r="F83" t="str">
        <v>Laptop</v>
      </c>
      <c r="G83" t="str">
        <v>Electronics</v>
      </c>
      <c r="H83">
        <v>4</v>
      </c>
      <c r="I83">
        <v>899.99</v>
      </c>
      <c r="J83" t="str">
        <v>Credit Card</v>
      </c>
      <c r="K83" t="str">
        <v>West</v>
      </c>
      <c r="L83" t="str">
        <v>Standard</v>
      </c>
      <c r="M83">
        <v>45327</v>
      </c>
      <c r="N83">
        <v>3599.96</v>
      </c>
    </row>
    <row r="84" spans="1:14" x14ac:dyDescent="0.3">
      <c r="A84" t="str">
        <v>TRX0239</v>
      </c>
      <c r="B84">
        <v>45413</v>
      </c>
      <c r="C84" t="str">
        <v>CUST012</v>
      </c>
      <c r="D84" t="str">
        <v>Patricia Moore</v>
      </c>
      <c r="E84" t="str">
        <v>P002</v>
      </c>
      <c r="F84" t="str">
        <v>Smartphone</v>
      </c>
      <c r="G84" t="str">
        <v>Electronics</v>
      </c>
      <c r="H84">
        <v>4</v>
      </c>
      <c r="I84">
        <v>699.99</v>
      </c>
      <c r="J84" t="str">
        <v>Cash</v>
      </c>
      <c r="K84" t="str">
        <v>East</v>
      </c>
      <c r="L84" t="str">
        <v>Standard</v>
      </c>
      <c r="M84">
        <v>44409</v>
      </c>
      <c r="N84">
        <v>2799.96</v>
      </c>
    </row>
    <row r="85" spans="1:14" x14ac:dyDescent="0.3">
      <c r="A85" t="str">
        <v>TRX0204</v>
      </c>
      <c r="B85">
        <v>45415</v>
      </c>
      <c r="C85" t="str">
        <v>CUST044</v>
      </c>
      <c r="D85" t="str">
        <v>Cynthia Price</v>
      </c>
      <c r="E85" t="str">
        <v>P009</v>
      </c>
      <c r="F85" t="str">
        <v>Monitor</v>
      </c>
      <c r="G85" t="str">
        <v>Electronics</v>
      </c>
      <c r="H85">
        <v>4</v>
      </c>
      <c r="I85">
        <v>249.99</v>
      </c>
      <c r="J85" t="str">
        <v>PayPal</v>
      </c>
      <c r="K85" t="str">
        <v>North</v>
      </c>
      <c r="L85" t="str">
        <v>Standard</v>
      </c>
      <c r="M85">
        <v>44468</v>
      </c>
      <c r="N85">
        <v>999.96</v>
      </c>
    </row>
    <row r="86" spans="1:14" x14ac:dyDescent="0.3">
      <c r="A86" t="str">
        <v>TRX0025</v>
      </c>
      <c r="B86">
        <v>45468</v>
      </c>
      <c r="C86" t="str">
        <v>CUST049</v>
      </c>
      <c r="D86" t="str">
        <v>Raymond Ross</v>
      </c>
      <c r="E86" t="str">
        <v>P010</v>
      </c>
      <c r="F86" t="str">
        <v>Keyboard</v>
      </c>
      <c r="G86" t="str">
        <v>Electronics</v>
      </c>
      <c r="H86">
        <v>4</v>
      </c>
      <c r="I86">
        <v>89.99</v>
      </c>
      <c r="J86" t="str">
        <v>Debit Card</v>
      </c>
      <c r="K86" t="str">
        <v>South</v>
      </c>
      <c r="L86" t="str">
        <v>Basic</v>
      </c>
      <c r="M86">
        <v>45281</v>
      </c>
      <c r="N86">
        <v>359.96</v>
      </c>
    </row>
    <row r="87" spans="1:14" x14ac:dyDescent="0.3">
      <c r="A87" t="str">
        <v>TRX0104</v>
      </c>
      <c r="B87">
        <v>45471</v>
      </c>
      <c r="C87" t="str">
        <v>CUST012</v>
      </c>
      <c r="D87" t="str">
        <v>Patricia Moore</v>
      </c>
      <c r="E87" t="str">
        <v>P001</v>
      </c>
      <c r="F87" t="str">
        <v>Laptop</v>
      </c>
      <c r="G87" t="str">
        <v>Electronics</v>
      </c>
      <c r="H87">
        <v>4</v>
      </c>
      <c r="I87">
        <v>899.99</v>
      </c>
      <c r="J87" t="str">
        <v>Credit Card</v>
      </c>
      <c r="K87" t="str">
        <v>East</v>
      </c>
      <c r="L87" t="str">
        <v>Premium</v>
      </c>
      <c r="M87">
        <v>44993</v>
      </c>
      <c r="N87">
        <v>3599.96</v>
      </c>
    </row>
    <row r="88" spans="1:14" x14ac:dyDescent="0.3">
      <c r="A88" t="str">
        <v>TRX0215</v>
      </c>
      <c r="B88">
        <v>45498</v>
      </c>
      <c r="C88" t="str">
        <v>CUST047</v>
      </c>
      <c r="D88" t="str">
        <v>Gerald Murphy</v>
      </c>
      <c r="E88" t="str">
        <v>P009</v>
      </c>
      <c r="F88" t="str">
        <v>Monitor</v>
      </c>
      <c r="G88" t="str">
        <v>Electronics</v>
      </c>
      <c r="H88">
        <v>4</v>
      </c>
      <c r="I88">
        <v>249.99</v>
      </c>
      <c r="J88" t="str">
        <v>Debit Card</v>
      </c>
      <c r="K88" t="str">
        <v>Central</v>
      </c>
      <c r="L88" t="str">
        <v>Standard</v>
      </c>
      <c r="M88">
        <v>45127</v>
      </c>
      <c r="N88">
        <v>999.96</v>
      </c>
    </row>
    <row r="89" spans="1:14" x14ac:dyDescent="0.3">
      <c r="A89" t="str">
        <v>TRX0249</v>
      </c>
      <c r="B89">
        <v>45504</v>
      </c>
      <c r="C89" t="str">
        <v>CUST030</v>
      </c>
      <c r="D89" t="str">
        <v>Helen Roberts</v>
      </c>
      <c r="E89" t="str">
        <v>P001</v>
      </c>
      <c r="F89" t="str">
        <v>Laptop</v>
      </c>
      <c r="G89" t="str">
        <v>Electronics</v>
      </c>
      <c r="H89">
        <v>4</v>
      </c>
      <c r="I89">
        <v>899.99</v>
      </c>
      <c r="J89" t="str">
        <v>Debit Card</v>
      </c>
      <c r="K89" t="str">
        <v>South</v>
      </c>
      <c r="L89" t="str">
        <v>Standard</v>
      </c>
      <c r="M89">
        <v>44523</v>
      </c>
      <c r="N89">
        <v>3599.96</v>
      </c>
    </row>
    <row r="90" spans="1:14" x14ac:dyDescent="0.3">
      <c r="A90" t="str">
        <v>TRX0020</v>
      </c>
      <c r="B90">
        <v>45517</v>
      </c>
      <c r="C90" t="str">
        <v>CUST007</v>
      </c>
      <c r="D90" t="str">
        <v>David Martinez</v>
      </c>
      <c r="E90" t="str">
        <v>P003</v>
      </c>
      <c r="F90" t="str">
        <v>Headphones</v>
      </c>
      <c r="G90" t="str">
        <v>Electronics</v>
      </c>
      <c r="H90">
        <v>4</v>
      </c>
      <c r="I90">
        <v>149.99</v>
      </c>
      <c r="J90" t="str">
        <v>Debit Card</v>
      </c>
      <c r="K90" t="str">
        <v>South</v>
      </c>
      <c r="L90" t="str">
        <v>Premium</v>
      </c>
      <c r="M90">
        <v>44820</v>
      </c>
      <c r="N90">
        <v>599.96</v>
      </c>
    </row>
    <row r="91" spans="1:14" x14ac:dyDescent="0.3">
      <c r="A91" t="str">
        <v>TRX0005</v>
      </c>
      <c r="B91">
        <v>45550</v>
      </c>
      <c r="C91" t="str">
        <v>CUST042</v>
      </c>
      <c r="D91" t="str">
        <v>Ruth Brooks</v>
      </c>
      <c r="E91" t="str">
        <v>P003</v>
      </c>
      <c r="F91" t="str">
        <v>Headphones</v>
      </c>
      <c r="G91" t="str">
        <v>Electronics</v>
      </c>
      <c r="H91">
        <v>4</v>
      </c>
      <c r="I91">
        <v>149.99</v>
      </c>
      <c r="J91" t="str">
        <v>Cash</v>
      </c>
      <c r="K91" t="str">
        <v>North</v>
      </c>
      <c r="L91" t="str">
        <v>Basic</v>
      </c>
      <c r="M91">
        <v>44909</v>
      </c>
      <c r="N91">
        <v>599.96</v>
      </c>
    </row>
    <row r="92" spans="1:14" x14ac:dyDescent="0.3">
      <c r="A92" t="str">
        <v>TRX0123</v>
      </c>
      <c r="B92">
        <v>45554</v>
      </c>
      <c r="C92" t="str">
        <v>CUST041</v>
      </c>
      <c r="D92" t="str">
        <v>Peter Richardson</v>
      </c>
      <c r="E92" t="str">
        <v>P002</v>
      </c>
      <c r="F92" t="str">
        <v>Smartphone</v>
      </c>
      <c r="G92" t="str">
        <v>Electronics</v>
      </c>
      <c r="H92">
        <v>4</v>
      </c>
      <c r="I92">
        <v>699.99</v>
      </c>
      <c r="J92" t="str">
        <v>PayPal</v>
      </c>
      <c r="K92" t="str">
        <v>South</v>
      </c>
      <c r="L92" t="str">
        <v>Basic</v>
      </c>
      <c r="M92">
        <v>44618</v>
      </c>
      <c r="N92">
        <v>2799.96</v>
      </c>
    </row>
    <row r="93" spans="1:14" x14ac:dyDescent="0.3">
      <c r="A93" t="str">
        <v>TRX0203</v>
      </c>
      <c r="B93">
        <v>45572</v>
      </c>
      <c r="C93" t="str">
        <v>CUST032</v>
      </c>
      <c r="D93" t="str">
        <v>Sandra Phillips</v>
      </c>
      <c r="E93" t="str">
        <v>P003</v>
      </c>
      <c r="F93" t="str">
        <v>Headphones</v>
      </c>
      <c r="G93" t="str">
        <v>Electronics</v>
      </c>
      <c r="H93">
        <v>4</v>
      </c>
      <c r="I93">
        <v>149.99</v>
      </c>
      <c r="J93" t="str">
        <v>Credit Card</v>
      </c>
      <c r="K93" t="str">
        <v>North</v>
      </c>
      <c r="L93" t="str">
        <v>Premium</v>
      </c>
      <c r="M93">
        <v>45076</v>
      </c>
      <c r="N93">
        <v>599.96</v>
      </c>
    </row>
    <row r="94" spans="1:14" x14ac:dyDescent="0.3">
      <c r="A94" t="str">
        <v>TRX0034</v>
      </c>
      <c r="B94">
        <v>45581</v>
      </c>
      <c r="C94" t="str">
        <v>CUST049</v>
      </c>
      <c r="D94" t="str">
        <v>Raymond Ross</v>
      </c>
      <c r="E94" t="str">
        <v>P002</v>
      </c>
      <c r="F94" t="str">
        <v>Smartphone</v>
      </c>
      <c r="G94" t="str">
        <v>Electronics</v>
      </c>
      <c r="H94">
        <v>4</v>
      </c>
      <c r="I94">
        <v>699.99</v>
      </c>
      <c r="J94" t="str">
        <v>Credit Card</v>
      </c>
      <c r="K94" t="str">
        <v>Central</v>
      </c>
      <c r="L94" t="str">
        <v>Basic</v>
      </c>
      <c r="M94">
        <v>45385</v>
      </c>
      <c r="N94">
        <v>2799.96</v>
      </c>
    </row>
    <row r="95" spans="1:14" x14ac:dyDescent="0.3">
      <c r="A95" t="str">
        <v>TRX0076</v>
      </c>
      <c r="B95">
        <v>45607</v>
      </c>
      <c r="C95" t="str">
        <v>CUST012</v>
      </c>
      <c r="D95" t="str">
        <v>Patricia Moore</v>
      </c>
      <c r="E95" t="str">
        <v>P009</v>
      </c>
      <c r="F95" t="str">
        <v>Monitor</v>
      </c>
      <c r="G95" t="str">
        <v>Electronics</v>
      </c>
      <c r="H95">
        <v>4</v>
      </c>
      <c r="I95">
        <v>249.99</v>
      </c>
      <c r="J95" t="str">
        <v>Credit Card</v>
      </c>
      <c r="K95" t="str">
        <v>West</v>
      </c>
      <c r="L95" t="str">
        <v>Standard</v>
      </c>
      <c r="M95">
        <v>44659</v>
      </c>
      <c r="N95">
        <v>999.96</v>
      </c>
    </row>
    <row r="96" spans="1:14" x14ac:dyDescent="0.3">
      <c r="A96" t="str">
        <v>TRX0137</v>
      </c>
      <c r="B96">
        <v>45629</v>
      </c>
      <c r="C96" t="str">
        <v>CUST011</v>
      </c>
      <c r="D96" t="str">
        <v>William White</v>
      </c>
      <c r="E96" t="str">
        <v>P009</v>
      </c>
      <c r="F96" t="str">
        <v>Monitor</v>
      </c>
      <c r="G96" t="str">
        <v>Electronics</v>
      </c>
      <c r="H96">
        <v>4</v>
      </c>
      <c r="I96">
        <v>249.99</v>
      </c>
      <c r="J96" t="str">
        <v>PayPal</v>
      </c>
      <c r="K96" t="str">
        <v>East</v>
      </c>
      <c r="L96" t="str">
        <v>Premium</v>
      </c>
      <c r="M96">
        <v>45098</v>
      </c>
      <c r="N96">
        <v>999.96</v>
      </c>
    </row>
    <row r="97" spans="1:14" x14ac:dyDescent="0.3">
      <c r="A97" t="str">
        <v>TRX0066</v>
      </c>
      <c r="B97">
        <v>45630</v>
      </c>
      <c r="C97" t="str">
        <v>CUST024</v>
      </c>
      <c r="D97" t="str">
        <v>Dorothy Nelson</v>
      </c>
      <c r="E97" t="str">
        <v>P002</v>
      </c>
      <c r="F97" t="str">
        <v>Smartphone</v>
      </c>
      <c r="G97" t="str">
        <v>Electronics</v>
      </c>
      <c r="H97">
        <v>4</v>
      </c>
      <c r="I97">
        <v>699.99</v>
      </c>
      <c r="J97" t="str">
        <v>Credit Card</v>
      </c>
      <c r="K97" t="str">
        <v>North</v>
      </c>
      <c r="L97" t="str">
        <v>Premium</v>
      </c>
      <c r="M97">
        <v>44703</v>
      </c>
      <c r="N97">
        <v>2799.96</v>
      </c>
    </row>
    <row r="98" spans="1:14" x14ac:dyDescent="0.3">
      <c r="A98" t="str">
        <v>TRX0084</v>
      </c>
      <c r="B98">
        <v>45668</v>
      </c>
      <c r="C98" t="str">
        <v>CUST031</v>
      </c>
      <c r="D98" t="str">
        <v>Steven Turner</v>
      </c>
      <c r="E98" t="str">
        <v>P003</v>
      </c>
      <c r="F98" t="str">
        <v>Headphones</v>
      </c>
      <c r="G98" t="str">
        <v>Electronics</v>
      </c>
      <c r="H98">
        <v>4</v>
      </c>
      <c r="I98">
        <v>149.99</v>
      </c>
      <c r="J98" t="str">
        <v>Debit Card</v>
      </c>
      <c r="K98" t="str">
        <v>East</v>
      </c>
      <c r="L98" t="str">
        <v>Standard</v>
      </c>
      <c r="M98">
        <v>44536</v>
      </c>
      <c r="N98">
        <v>599.96</v>
      </c>
    </row>
    <row r="99" spans="1:14" x14ac:dyDescent="0.3">
      <c r="A99" t="str">
        <v>TRX0087</v>
      </c>
      <c r="B99">
        <v>45671</v>
      </c>
      <c r="C99" t="str">
        <v>CUST028</v>
      </c>
      <c r="D99" t="str">
        <v>Betty Campbell</v>
      </c>
      <c r="E99" t="str">
        <v>P009</v>
      </c>
      <c r="F99" t="str">
        <v>Monitor</v>
      </c>
      <c r="G99" t="str">
        <v>Electronics</v>
      </c>
      <c r="H99">
        <v>4</v>
      </c>
      <c r="I99">
        <v>249.99</v>
      </c>
      <c r="J99" t="str">
        <v>Credit Card</v>
      </c>
      <c r="K99" t="str">
        <v>North</v>
      </c>
      <c r="L99" t="str">
        <v>Premium</v>
      </c>
      <c r="M99">
        <v>44460</v>
      </c>
      <c r="N99">
        <v>999.96</v>
      </c>
    </row>
    <row r="100" spans="1:14" x14ac:dyDescent="0.3">
      <c r="A100" t="str">
        <v>TRX0159</v>
      </c>
      <c r="B100">
        <v>45683</v>
      </c>
      <c r="C100" t="str">
        <v>CUST024</v>
      </c>
      <c r="D100" t="str">
        <v>Dorothy Nelson</v>
      </c>
      <c r="E100" t="str">
        <v>P009</v>
      </c>
      <c r="F100" t="str">
        <v>Monitor</v>
      </c>
      <c r="G100" t="str">
        <v>Electronics</v>
      </c>
      <c r="H100">
        <v>4</v>
      </c>
      <c r="I100">
        <v>249.99</v>
      </c>
      <c r="J100" t="str">
        <v>Debit Card</v>
      </c>
      <c r="K100" t="str">
        <v>Central</v>
      </c>
      <c r="L100" t="str">
        <v>Premium</v>
      </c>
      <c r="M100">
        <v>45217</v>
      </c>
      <c r="N100">
        <v>999.96</v>
      </c>
    </row>
    <row r="101" spans="1:14" x14ac:dyDescent="0.3">
      <c r="A101" t="str">
        <v>TRX0030</v>
      </c>
      <c r="B101">
        <v>45686</v>
      </c>
      <c r="C101" t="str">
        <v>CUST011</v>
      </c>
      <c r="D101" t="str">
        <v>William White</v>
      </c>
      <c r="E101" t="str">
        <v>P001</v>
      </c>
      <c r="F101" t="str">
        <v>Laptop</v>
      </c>
      <c r="G101" t="str">
        <v>Electronics</v>
      </c>
      <c r="H101">
        <v>4</v>
      </c>
      <c r="I101">
        <v>899.99</v>
      </c>
      <c r="J101" t="str">
        <v>PayPal</v>
      </c>
      <c r="K101" t="str">
        <v>Central</v>
      </c>
      <c r="L101" t="str">
        <v>Basic</v>
      </c>
      <c r="M101">
        <v>44734</v>
      </c>
      <c r="N101">
        <v>3599.96</v>
      </c>
    </row>
    <row r="102" spans="1:14" x14ac:dyDescent="0.3">
      <c r="A102" t="str">
        <v>TRX0010</v>
      </c>
      <c r="B102">
        <v>45688</v>
      </c>
      <c r="C102" t="str">
        <v>CUST026</v>
      </c>
      <c r="D102" t="str">
        <v>Karen Hill</v>
      </c>
      <c r="E102" t="str">
        <v>P002</v>
      </c>
      <c r="F102" t="str">
        <v>Smartphone</v>
      </c>
      <c r="G102" t="str">
        <v>Electronics</v>
      </c>
      <c r="H102">
        <v>4</v>
      </c>
      <c r="I102">
        <v>699.99</v>
      </c>
      <c r="J102" t="str">
        <v>Debit Card</v>
      </c>
      <c r="K102" t="str">
        <v>West</v>
      </c>
      <c r="L102" t="str">
        <v>Premium</v>
      </c>
      <c r="M102">
        <v>44692</v>
      </c>
      <c r="N102">
        <v>2799.96</v>
      </c>
    </row>
    <row r="103" spans="1:14" x14ac:dyDescent="0.3">
      <c r="A103" t="str">
        <v>TRX0193</v>
      </c>
      <c r="B103">
        <v>45403</v>
      </c>
      <c r="C103" t="str">
        <v>CUST024</v>
      </c>
      <c r="D103" t="str">
        <v>Dorothy Nelson</v>
      </c>
      <c r="E103" t="str">
        <v>P003</v>
      </c>
      <c r="F103" t="str">
        <v>Headphones</v>
      </c>
      <c r="G103" t="str">
        <v>Electronics</v>
      </c>
      <c r="H103">
        <v>5</v>
      </c>
      <c r="I103">
        <v>149.99</v>
      </c>
      <c r="J103" t="str">
        <v>Credit Card</v>
      </c>
      <c r="K103" t="str">
        <v>Central</v>
      </c>
      <c r="L103" t="str">
        <v>Standard</v>
      </c>
      <c r="M103">
        <v>44418</v>
      </c>
      <c r="N103">
        <v>749.95</v>
      </c>
    </row>
    <row r="104" spans="1:14" x14ac:dyDescent="0.3">
      <c r="A104" t="str">
        <v>TRX0231</v>
      </c>
      <c r="B104">
        <v>45412</v>
      </c>
      <c r="C104" t="str">
        <v>CUST018</v>
      </c>
      <c r="D104" t="str">
        <v>Barbara Young</v>
      </c>
      <c r="E104" t="str">
        <v>P002</v>
      </c>
      <c r="F104" t="str">
        <v>Smartphone</v>
      </c>
      <c r="G104" t="str">
        <v>Electronics</v>
      </c>
      <c r="H104">
        <v>5</v>
      </c>
      <c r="I104">
        <v>699.99</v>
      </c>
      <c r="J104" t="str">
        <v>Cash</v>
      </c>
      <c r="K104" t="str">
        <v>West</v>
      </c>
      <c r="L104" t="str">
        <v>Basic</v>
      </c>
      <c r="M104">
        <v>45167</v>
      </c>
      <c r="N104">
        <v>3499.95</v>
      </c>
    </row>
    <row r="105" spans="1:14" x14ac:dyDescent="0.3">
      <c r="A105" t="str">
        <v>TRX0071</v>
      </c>
      <c r="B105">
        <v>45422</v>
      </c>
      <c r="C105" t="str">
        <v>CUST036</v>
      </c>
      <c r="D105" t="str">
        <v>Nancy Collins</v>
      </c>
      <c r="E105" t="str">
        <v>P009</v>
      </c>
      <c r="F105" t="str">
        <v>Monitor</v>
      </c>
      <c r="G105" t="str">
        <v>Electronics</v>
      </c>
      <c r="H105">
        <v>5</v>
      </c>
      <c r="I105">
        <v>249.99</v>
      </c>
      <c r="J105" t="str">
        <v>Credit Card</v>
      </c>
      <c r="K105" t="str">
        <v>West</v>
      </c>
      <c r="L105" t="str">
        <v>Standard</v>
      </c>
      <c r="M105">
        <v>44525</v>
      </c>
      <c r="N105">
        <v>1249.95</v>
      </c>
    </row>
    <row r="106" spans="1:14" x14ac:dyDescent="0.3">
      <c r="A106" t="str">
        <v>TRX0004</v>
      </c>
      <c r="B106">
        <v>45424</v>
      </c>
      <c r="C106" t="str">
        <v>CUST012</v>
      </c>
      <c r="D106" t="str">
        <v>Patricia Moore</v>
      </c>
      <c r="E106" t="str">
        <v>P010</v>
      </c>
      <c r="F106" t="str">
        <v>Keyboard</v>
      </c>
      <c r="G106" t="str">
        <v>Electronics</v>
      </c>
      <c r="H106">
        <v>5</v>
      </c>
      <c r="I106">
        <v>89.99</v>
      </c>
      <c r="J106" t="str">
        <v>Cash</v>
      </c>
      <c r="K106" t="str">
        <v>North</v>
      </c>
      <c r="L106" t="str">
        <v>Premium</v>
      </c>
      <c r="M106">
        <v>44919</v>
      </c>
      <c r="N106">
        <v>449.95</v>
      </c>
    </row>
    <row r="107" spans="1:14" x14ac:dyDescent="0.3">
      <c r="A107" t="str">
        <v>TRX0015</v>
      </c>
      <c r="B107">
        <v>45440</v>
      </c>
      <c r="C107" t="str">
        <v>CUST008</v>
      </c>
      <c r="D107" t="str">
        <v>Jennifer Taylor</v>
      </c>
      <c r="E107" t="str">
        <v>P002</v>
      </c>
      <c r="F107" t="str">
        <v>Smartphone</v>
      </c>
      <c r="G107" t="str">
        <v>Electronics</v>
      </c>
      <c r="H107">
        <v>5</v>
      </c>
      <c r="I107">
        <v>699.99</v>
      </c>
      <c r="J107" t="str">
        <v>PayPal</v>
      </c>
      <c r="K107" t="str">
        <v>West</v>
      </c>
      <c r="L107" t="str">
        <v>Standard</v>
      </c>
      <c r="M107">
        <v>44407</v>
      </c>
      <c r="N107">
        <v>3499.95</v>
      </c>
    </row>
    <row r="108" spans="1:14" x14ac:dyDescent="0.3">
      <c r="A108" t="str">
        <v>TRX0208</v>
      </c>
      <c r="B108">
        <v>45446</v>
      </c>
      <c r="C108" t="str">
        <v>CUST004</v>
      </c>
      <c r="D108" t="str">
        <v>Sarah Davis</v>
      </c>
      <c r="E108" t="str">
        <v>P010</v>
      </c>
      <c r="F108" t="str">
        <v>Keyboard</v>
      </c>
      <c r="G108" t="str">
        <v>Electronics</v>
      </c>
      <c r="H108">
        <v>5</v>
      </c>
      <c r="I108">
        <v>89.99</v>
      </c>
      <c r="J108" t="str">
        <v>Credit Card</v>
      </c>
      <c r="K108" t="str">
        <v>East</v>
      </c>
      <c r="L108" t="str">
        <v>Standard</v>
      </c>
      <c r="M108">
        <v>44587</v>
      </c>
      <c r="N108">
        <v>449.95</v>
      </c>
    </row>
    <row r="109" spans="1:14" x14ac:dyDescent="0.3">
      <c r="A109" t="str">
        <v>TRX0234</v>
      </c>
      <c r="B109">
        <v>45449</v>
      </c>
      <c r="C109" t="str">
        <v>CUST013</v>
      </c>
      <c r="D109" t="str">
        <v>Joseph Jackson</v>
      </c>
      <c r="E109" t="str">
        <v>P009</v>
      </c>
      <c r="F109" t="str">
        <v>Monitor</v>
      </c>
      <c r="G109" t="str">
        <v>Electronics</v>
      </c>
      <c r="H109">
        <v>5</v>
      </c>
      <c r="I109">
        <v>249.99</v>
      </c>
      <c r="J109" t="str">
        <v>Credit Card</v>
      </c>
      <c r="K109" t="str">
        <v>East</v>
      </c>
      <c r="L109" t="str">
        <v>Standard</v>
      </c>
      <c r="M109">
        <v>44707</v>
      </c>
      <c r="N109">
        <v>1249.95</v>
      </c>
    </row>
    <row r="110" spans="1:14" x14ac:dyDescent="0.3">
      <c r="A110" t="str">
        <v>TRX0088</v>
      </c>
      <c r="B110">
        <v>45456</v>
      </c>
      <c r="C110" t="str">
        <v>CUST006</v>
      </c>
      <c r="D110" t="str">
        <v>Lisa Anderson</v>
      </c>
      <c r="E110" t="str">
        <v>P010</v>
      </c>
      <c r="F110" t="str">
        <v>Keyboard</v>
      </c>
      <c r="G110" t="str">
        <v>Electronics</v>
      </c>
      <c r="H110">
        <v>5</v>
      </c>
      <c r="I110">
        <v>89.99</v>
      </c>
      <c r="J110" t="str">
        <v>Cash</v>
      </c>
      <c r="K110" t="str">
        <v>Central</v>
      </c>
      <c r="L110" t="str">
        <v>Premium</v>
      </c>
      <c r="M110">
        <v>44579</v>
      </c>
      <c r="N110">
        <v>449.95</v>
      </c>
    </row>
    <row r="111" spans="1:14" x14ac:dyDescent="0.3">
      <c r="A111" t="str">
        <v>TRX0154</v>
      </c>
      <c r="B111">
        <v>45459</v>
      </c>
      <c r="C111" t="str">
        <v>CUST023</v>
      </c>
      <c r="D111" t="str">
        <v>Paul Baker</v>
      </c>
      <c r="E111" t="str">
        <v>P001</v>
      </c>
      <c r="F111" t="str">
        <v>Laptop</v>
      </c>
      <c r="G111" t="str">
        <v>Electronics</v>
      </c>
      <c r="H111">
        <v>5</v>
      </c>
      <c r="I111">
        <v>899.99</v>
      </c>
      <c r="J111" t="str">
        <v>Credit Card</v>
      </c>
      <c r="K111" t="str">
        <v>South</v>
      </c>
      <c r="L111" t="str">
        <v>Standard</v>
      </c>
      <c r="M111">
        <v>44974</v>
      </c>
      <c r="N111">
        <v>4499.95</v>
      </c>
    </row>
    <row r="112" spans="1:14" x14ac:dyDescent="0.3">
      <c r="A112" t="str">
        <v>TRX0044</v>
      </c>
      <c r="B112">
        <v>45459</v>
      </c>
      <c r="C112" t="str">
        <v>CUST029</v>
      </c>
      <c r="D112" t="str">
        <v>Edward Mitchell</v>
      </c>
      <c r="E112" t="str">
        <v>P001</v>
      </c>
      <c r="F112" t="str">
        <v>Laptop</v>
      </c>
      <c r="G112" t="str">
        <v>Electronics</v>
      </c>
      <c r="H112">
        <v>5</v>
      </c>
      <c r="I112">
        <v>899.99</v>
      </c>
      <c r="J112" t="str">
        <v>PayPal</v>
      </c>
      <c r="K112" t="str">
        <v>East</v>
      </c>
      <c r="L112" t="str">
        <v>Premium</v>
      </c>
      <c r="M112">
        <v>45278</v>
      </c>
      <c r="N112">
        <v>4499.95</v>
      </c>
    </row>
    <row r="113" spans="1:14" x14ac:dyDescent="0.3">
      <c r="A113" t="str">
        <v>TRX0114</v>
      </c>
      <c r="B113">
        <v>45481</v>
      </c>
      <c r="C113" t="str">
        <v>CUST018</v>
      </c>
      <c r="D113" t="str">
        <v>Barbara Young</v>
      </c>
      <c r="E113" t="str">
        <v>P010</v>
      </c>
      <c r="F113" t="str">
        <v>Keyboard</v>
      </c>
      <c r="G113" t="str">
        <v>Electronics</v>
      </c>
      <c r="H113">
        <v>5</v>
      </c>
      <c r="I113">
        <v>89.99</v>
      </c>
      <c r="J113" t="str">
        <v>Debit Card</v>
      </c>
      <c r="K113" t="str">
        <v>North</v>
      </c>
      <c r="L113" t="str">
        <v>Premium</v>
      </c>
      <c r="M113">
        <v>45161</v>
      </c>
      <c r="N113">
        <v>449.95</v>
      </c>
    </row>
    <row r="114" spans="1:14" x14ac:dyDescent="0.3">
      <c r="A114" t="str">
        <v>TRX0244</v>
      </c>
      <c r="B114">
        <v>45497</v>
      </c>
      <c r="C114" t="str">
        <v>CUST013</v>
      </c>
      <c r="D114" t="str">
        <v>Joseph Jackson</v>
      </c>
      <c r="E114" t="str">
        <v>P001</v>
      </c>
      <c r="F114" t="str">
        <v>Laptop</v>
      </c>
      <c r="G114" t="str">
        <v>Electronics</v>
      </c>
      <c r="H114">
        <v>5</v>
      </c>
      <c r="I114">
        <v>899.99</v>
      </c>
      <c r="J114" t="str">
        <v>Debit Card</v>
      </c>
      <c r="K114" t="str">
        <v>South</v>
      </c>
      <c r="L114" t="str">
        <v>Standard</v>
      </c>
      <c r="M114">
        <v>44899</v>
      </c>
      <c r="N114">
        <v>4499.95</v>
      </c>
    </row>
    <row r="115" spans="1:14" x14ac:dyDescent="0.3">
      <c r="A115" t="str">
        <v>TRX0075</v>
      </c>
      <c r="B115">
        <v>45517</v>
      </c>
      <c r="C115" t="str">
        <v>CUST020</v>
      </c>
      <c r="D115" t="str">
        <v>Margaret Wright</v>
      </c>
      <c r="E115" t="str">
        <v>P009</v>
      </c>
      <c r="F115" t="str">
        <v>Monitor</v>
      </c>
      <c r="G115" t="str">
        <v>Electronics</v>
      </c>
      <c r="H115">
        <v>5</v>
      </c>
      <c r="I115">
        <v>249.99</v>
      </c>
      <c r="J115" t="str">
        <v>PayPal</v>
      </c>
      <c r="K115" t="str">
        <v>East</v>
      </c>
      <c r="L115" t="str">
        <v>Premium</v>
      </c>
      <c r="M115">
        <v>44782</v>
      </c>
      <c r="N115">
        <v>1249.95</v>
      </c>
    </row>
    <row r="116" spans="1:14" x14ac:dyDescent="0.3">
      <c r="A116" t="str">
        <v>TRX0132</v>
      </c>
      <c r="B116">
        <v>45523</v>
      </c>
      <c r="C116" t="str">
        <v>CUST047</v>
      </c>
      <c r="D116" t="str">
        <v>Gerald Murphy</v>
      </c>
      <c r="E116" t="str">
        <v>P001</v>
      </c>
      <c r="F116" t="str">
        <v>Laptop</v>
      </c>
      <c r="G116" t="str">
        <v>Electronics</v>
      </c>
      <c r="H116">
        <v>5</v>
      </c>
      <c r="I116">
        <v>899.99</v>
      </c>
      <c r="J116" t="str">
        <v>Debit Card</v>
      </c>
      <c r="K116" t="str">
        <v>East</v>
      </c>
      <c r="L116" t="str">
        <v>Basic</v>
      </c>
      <c r="M116">
        <v>44526</v>
      </c>
      <c r="N116">
        <v>4499.95</v>
      </c>
    </row>
    <row r="117" spans="1:14" x14ac:dyDescent="0.3">
      <c r="A117" t="str">
        <v>TRX0077</v>
      </c>
      <c r="B117">
        <v>45554</v>
      </c>
      <c r="C117" t="str">
        <v>CUST019</v>
      </c>
      <c r="D117" t="str">
        <v>Daniel King</v>
      </c>
      <c r="E117" t="str">
        <v>P010</v>
      </c>
      <c r="F117" t="str">
        <v>Keyboard</v>
      </c>
      <c r="G117" t="str">
        <v>Electronics</v>
      </c>
      <c r="H117">
        <v>5</v>
      </c>
      <c r="I117">
        <v>89.99</v>
      </c>
      <c r="J117" t="str">
        <v>Credit Card</v>
      </c>
      <c r="K117" t="str">
        <v>East</v>
      </c>
      <c r="L117" t="str">
        <v>Premium</v>
      </c>
      <c r="M117">
        <v>44446</v>
      </c>
      <c r="N117">
        <v>449.95</v>
      </c>
    </row>
    <row r="118" spans="1:14" x14ac:dyDescent="0.3">
      <c r="A118" t="str">
        <v>TRX0173</v>
      </c>
      <c r="B118">
        <v>45581</v>
      </c>
      <c r="C118" t="str">
        <v>CUST018</v>
      </c>
      <c r="D118" t="str">
        <v>Barbara Young</v>
      </c>
      <c r="E118" t="str">
        <v>P002</v>
      </c>
      <c r="F118" t="str">
        <v>Smartphone</v>
      </c>
      <c r="G118" t="str">
        <v>Electronics</v>
      </c>
      <c r="H118">
        <v>5</v>
      </c>
      <c r="I118">
        <v>699.99</v>
      </c>
      <c r="J118" t="str">
        <v>Cash</v>
      </c>
      <c r="K118" t="str">
        <v>East</v>
      </c>
      <c r="L118" t="str">
        <v>Standard</v>
      </c>
      <c r="M118">
        <v>45008</v>
      </c>
      <c r="N118">
        <v>3499.95</v>
      </c>
    </row>
    <row r="119" spans="1:14" x14ac:dyDescent="0.3">
      <c r="A119" t="str">
        <v>TRX0167</v>
      </c>
      <c r="B119">
        <v>45589</v>
      </c>
      <c r="C119" t="str">
        <v>CUST028</v>
      </c>
      <c r="D119" t="str">
        <v>Betty Campbell</v>
      </c>
      <c r="E119" t="str">
        <v>P002</v>
      </c>
      <c r="F119" t="str">
        <v>Smartphone</v>
      </c>
      <c r="G119" t="str">
        <v>Electronics</v>
      </c>
      <c r="H119">
        <v>5</v>
      </c>
      <c r="I119">
        <v>699.99</v>
      </c>
      <c r="J119" t="str">
        <v>Cash</v>
      </c>
      <c r="K119" t="str">
        <v>North</v>
      </c>
      <c r="L119" t="str">
        <v>Premium</v>
      </c>
      <c r="M119">
        <v>44635</v>
      </c>
      <c r="N119">
        <v>3499.95</v>
      </c>
    </row>
    <row r="120" spans="1:14" x14ac:dyDescent="0.3">
      <c r="A120" t="str">
        <v>TRX0057</v>
      </c>
      <c r="B120">
        <v>45597</v>
      </c>
      <c r="C120" t="str">
        <v>CUST023</v>
      </c>
      <c r="D120" t="str">
        <v>Paul Baker</v>
      </c>
      <c r="E120" t="str">
        <v>P009</v>
      </c>
      <c r="F120" t="str">
        <v>Monitor</v>
      </c>
      <c r="G120" t="str">
        <v>Electronics</v>
      </c>
      <c r="H120">
        <v>5</v>
      </c>
      <c r="I120">
        <v>249.99</v>
      </c>
      <c r="J120" t="str">
        <v>Credit Card</v>
      </c>
      <c r="K120" t="str">
        <v>South</v>
      </c>
      <c r="L120" t="str">
        <v>Standard</v>
      </c>
      <c r="M120">
        <v>44881</v>
      </c>
      <c r="N120">
        <v>1249.95</v>
      </c>
    </row>
    <row r="121" spans="1:14" x14ac:dyDescent="0.3">
      <c r="A121" t="str">
        <v>TRX0012</v>
      </c>
      <c r="B121">
        <v>45622</v>
      </c>
      <c r="C121" t="str">
        <v>CUST045</v>
      </c>
      <c r="D121" t="str">
        <v>Douglas Watson</v>
      </c>
      <c r="E121" t="str">
        <v>P009</v>
      </c>
      <c r="F121" t="str">
        <v>Monitor</v>
      </c>
      <c r="G121" t="str">
        <v>Electronics</v>
      </c>
      <c r="H121">
        <v>5</v>
      </c>
      <c r="I121">
        <v>249.99</v>
      </c>
      <c r="J121" t="str">
        <v>Credit Card</v>
      </c>
      <c r="K121" t="str">
        <v>North</v>
      </c>
      <c r="L121" t="str">
        <v>Basic</v>
      </c>
      <c r="M121">
        <v>44873</v>
      </c>
      <c r="N121">
        <v>1249.95</v>
      </c>
    </row>
    <row r="122" spans="1:14" x14ac:dyDescent="0.3">
      <c r="A122" t="str">
        <v>TRX0094</v>
      </c>
      <c r="B122">
        <v>45627</v>
      </c>
      <c r="C122" t="str">
        <v>CUST017</v>
      </c>
      <c r="D122" t="str">
        <v>Charles Allen</v>
      </c>
      <c r="E122" t="str">
        <v>P009</v>
      </c>
      <c r="F122" t="str">
        <v>Monitor</v>
      </c>
      <c r="G122" t="str">
        <v>Electronics</v>
      </c>
      <c r="H122">
        <v>5</v>
      </c>
      <c r="I122">
        <v>249.99</v>
      </c>
      <c r="J122" t="str">
        <v>Cash</v>
      </c>
      <c r="K122" t="str">
        <v>Central</v>
      </c>
      <c r="L122" t="str">
        <v>Premium</v>
      </c>
      <c r="M122">
        <v>44485</v>
      </c>
      <c r="N122">
        <v>1249.95</v>
      </c>
    </row>
    <row r="123" spans="1:14" x14ac:dyDescent="0.3">
      <c r="A123" t="str">
        <v>TRX0201</v>
      </c>
      <c r="B123">
        <v>45627</v>
      </c>
      <c r="C123" t="str">
        <v>CUST025</v>
      </c>
      <c r="D123" t="str">
        <v>Mark Carter</v>
      </c>
      <c r="E123" t="str">
        <v>P002</v>
      </c>
      <c r="F123" t="str">
        <v>Smartphone</v>
      </c>
      <c r="G123" t="str">
        <v>Electronics</v>
      </c>
      <c r="H123">
        <v>5</v>
      </c>
      <c r="I123">
        <v>699.99</v>
      </c>
      <c r="J123" t="str">
        <v>Debit Card</v>
      </c>
      <c r="K123" t="str">
        <v>West</v>
      </c>
      <c r="L123" t="str">
        <v>Standard</v>
      </c>
      <c r="M123">
        <v>44944</v>
      </c>
      <c r="N123">
        <v>3499.95</v>
      </c>
    </row>
    <row r="124" spans="1:14" x14ac:dyDescent="0.3">
      <c r="A124" t="str">
        <v>TRX0163</v>
      </c>
      <c r="B124">
        <v>45645</v>
      </c>
      <c r="C124" t="str">
        <v>CUST019</v>
      </c>
      <c r="D124" t="str">
        <v>Daniel King</v>
      </c>
      <c r="E124" t="str">
        <v>P001</v>
      </c>
      <c r="F124" t="str">
        <v>Laptop</v>
      </c>
      <c r="G124" t="str">
        <v>Electronics</v>
      </c>
      <c r="H124">
        <v>5</v>
      </c>
      <c r="I124">
        <v>899.99</v>
      </c>
      <c r="J124" t="str">
        <v>Debit Card</v>
      </c>
      <c r="K124" t="str">
        <v>East</v>
      </c>
      <c r="L124" t="str">
        <v>Standard</v>
      </c>
      <c r="M124">
        <v>44625</v>
      </c>
      <c r="N124">
        <v>4499.95</v>
      </c>
    </row>
    <row r="125" spans="1:14" x14ac:dyDescent="0.3">
      <c r="A125" t="str">
        <v>TRX0237</v>
      </c>
      <c r="B125">
        <v>45663</v>
      </c>
      <c r="C125" t="str">
        <v>CUST006</v>
      </c>
      <c r="D125" t="str">
        <v>Lisa Anderson</v>
      </c>
      <c r="E125" t="str">
        <v>P003</v>
      </c>
      <c r="F125" t="str">
        <v>Headphones</v>
      </c>
      <c r="G125" t="str">
        <v>Electronics</v>
      </c>
      <c r="H125">
        <v>5</v>
      </c>
      <c r="I125">
        <v>149.99</v>
      </c>
      <c r="J125" t="str">
        <v>PayPal</v>
      </c>
      <c r="K125" t="str">
        <v>East</v>
      </c>
      <c r="L125" t="str">
        <v>Premium</v>
      </c>
      <c r="M125">
        <v>44824</v>
      </c>
      <c r="N125">
        <v>749.95</v>
      </c>
    </row>
    <row r="126" spans="1:14" x14ac:dyDescent="0.3">
      <c r="A126" t="str">
        <v>TRX0243</v>
      </c>
      <c r="B126">
        <v>45667</v>
      </c>
      <c r="C126" t="str">
        <v>CUST048</v>
      </c>
      <c r="D126" t="str">
        <v>Virginia Sanders</v>
      </c>
      <c r="E126" t="str">
        <v>P009</v>
      </c>
      <c r="F126" t="str">
        <v>Monitor</v>
      </c>
      <c r="G126" t="str">
        <v>Electronics</v>
      </c>
      <c r="H126">
        <v>5</v>
      </c>
      <c r="I126">
        <v>249.99</v>
      </c>
      <c r="J126" t="str">
        <v>Credit Card</v>
      </c>
      <c r="K126" t="str">
        <v>South</v>
      </c>
      <c r="L126" t="str">
        <v>Basic</v>
      </c>
      <c r="M126">
        <v>45330</v>
      </c>
      <c r="N126">
        <v>1249.95</v>
      </c>
    </row>
    <row r="127" spans="1:14" x14ac:dyDescent="0.3">
      <c r="A127" t="str">
        <v>TRX0179</v>
      </c>
      <c r="B127">
        <v>45707</v>
      </c>
      <c r="C127" t="str">
        <v>CUST029</v>
      </c>
      <c r="D127" t="str">
        <v>Edward Mitchell</v>
      </c>
      <c r="E127" t="str">
        <v>P002</v>
      </c>
      <c r="F127" t="str">
        <v>Smartphone</v>
      </c>
      <c r="G127" t="str">
        <v>Electronics</v>
      </c>
      <c r="H127">
        <v>5</v>
      </c>
      <c r="I127">
        <v>699.99</v>
      </c>
      <c r="J127" t="str">
        <v>PayPal</v>
      </c>
      <c r="K127" t="str">
        <v>South</v>
      </c>
      <c r="L127" t="str">
        <v>Premium</v>
      </c>
      <c r="M127">
        <v>45352</v>
      </c>
      <c r="N127">
        <v>3499.95</v>
      </c>
    </row>
    <row r="128" spans="1:14" x14ac:dyDescent="0.3">
      <c r="A128" t="str">
        <v>TRX0062</v>
      </c>
      <c r="B128">
        <v>45711</v>
      </c>
      <c r="C128" t="str">
        <v>CUST016</v>
      </c>
      <c r="D128" t="str">
        <v>Elizabeth Hall</v>
      </c>
      <c r="E128" t="str">
        <v>P010</v>
      </c>
      <c r="F128" t="str">
        <v>Keyboard</v>
      </c>
      <c r="G128" t="str">
        <v>Electronics</v>
      </c>
      <c r="H128">
        <v>5</v>
      </c>
      <c r="I128">
        <v>89.99</v>
      </c>
      <c r="J128" t="str">
        <v>PayPal</v>
      </c>
      <c r="K128" t="str">
        <v>West</v>
      </c>
      <c r="L128" t="str">
        <v>Premium</v>
      </c>
      <c r="M128">
        <v>45140</v>
      </c>
      <c r="N128">
        <v>449.95</v>
      </c>
    </row>
    <row r="129" spans="1:14" x14ac:dyDescent="0.3">
      <c r="A129" t="str">
        <v>TRX0226</v>
      </c>
      <c r="B129">
        <v>45720</v>
      </c>
      <c r="C129" t="str">
        <v>CUST039</v>
      </c>
      <c r="D129" t="str">
        <v>Lawrence Reed</v>
      </c>
      <c r="E129" t="str">
        <v>P002</v>
      </c>
      <c r="F129" t="str">
        <v>Smartphone</v>
      </c>
      <c r="G129" t="str">
        <v>Electronics</v>
      </c>
      <c r="H129">
        <v>5</v>
      </c>
      <c r="I129">
        <v>699.99</v>
      </c>
      <c r="J129" t="str">
        <v>Debit Card</v>
      </c>
      <c r="K129" t="str">
        <v>East</v>
      </c>
      <c r="L129" t="str">
        <v>Premium</v>
      </c>
      <c r="M129">
        <v>45161</v>
      </c>
      <c r="N129">
        <v>3499.95</v>
      </c>
    </row>
    <row r="130" spans="1:14" x14ac:dyDescent="0.3">
      <c r="A130" t="str">
        <v>TRX0175</v>
      </c>
      <c r="B130">
        <v>45723</v>
      </c>
      <c r="C130" t="str">
        <v>CUST030</v>
      </c>
      <c r="D130" t="str">
        <v>Helen Roberts</v>
      </c>
      <c r="E130" t="str">
        <v>P009</v>
      </c>
      <c r="F130" t="str">
        <v>Monitor</v>
      </c>
      <c r="G130" t="str">
        <v>Electronics</v>
      </c>
      <c r="H130">
        <v>5</v>
      </c>
      <c r="I130">
        <v>249.99</v>
      </c>
      <c r="J130" t="str">
        <v>Cash</v>
      </c>
      <c r="K130" t="str">
        <v>East</v>
      </c>
      <c r="L130" t="str">
        <v>Standard</v>
      </c>
      <c r="M130">
        <v>44540</v>
      </c>
      <c r="N130">
        <v>1249.95</v>
      </c>
    </row>
    <row r="131" spans="1:14" x14ac:dyDescent="0.3">
      <c r="A131" t="str">
        <v>TRX0016</v>
      </c>
      <c r="B131">
        <v>45724</v>
      </c>
      <c r="C131" t="str">
        <v>CUST035</v>
      </c>
      <c r="D131" t="str">
        <v>Harry Morgan</v>
      </c>
      <c r="E131" t="str">
        <v>P001</v>
      </c>
      <c r="F131" t="str">
        <v>Laptop</v>
      </c>
      <c r="G131" t="str">
        <v>Electronics</v>
      </c>
      <c r="H131">
        <v>5</v>
      </c>
      <c r="I131">
        <v>899.99</v>
      </c>
      <c r="J131" t="str">
        <v>PayPal</v>
      </c>
      <c r="K131" t="str">
        <v>East</v>
      </c>
      <c r="L131" t="str">
        <v>Premium</v>
      </c>
      <c r="M131">
        <v>45389</v>
      </c>
      <c r="N131">
        <v>4499.95</v>
      </c>
    </row>
    <row r="132" spans="1:14" x14ac:dyDescent="0.3">
      <c r="A132" t="str">
        <v>TRX0213</v>
      </c>
      <c r="B132">
        <v>45745</v>
      </c>
      <c r="C132" t="str">
        <v>CUST020</v>
      </c>
      <c r="D132" t="str">
        <v>Margaret Wright</v>
      </c>
      <c r="E132" t="str">
        <v>P010</v>
      </c>
      <c r="F132" t="str">
        <v>Keyboard</v>
      </c>
      <c r="G132" t="str">
        <v>Electronics</v>
      </c>
      <c r="H132">
        <v>5</v>
      </c>
      <c r="I132">
        <v>89.99</v>
      </c>
      <c r="J132" t="str">
        <v>PayPal</v>
      </c>
      <c r="K132" t="str">
        <v>South</v>
      </c>
      <c r="L132" t="str">
        <v>Basic</v>
      </c>
      <c r="M132">
        <v>44704</v>
      </c>
      <c r="N132">
        <v>449.95</v>
      </c>
    </row>
  </sheetData>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3190-581B-4BC2-B712-E64162F03B5B}">
  <dimension ref="A1:N251"/>
  <sheetViews>
    <sheetView workbookViewId="0">
      <selection sqref="A1:N251"/>
    </sheetView>
  </sheetViews>
  <sheetFormatPr defaultRowHeight="14.4" x14ac:dyDescent="0.3"/>
  <sheetData>
    <row r="1" spans="1:14" x14ac:dyDescent="0.3">
      <c r="A1" s="24" t="s">
        <v>2</v>
      </c>
      <c r="B1" s="24" t="s">
        <v>3</v>
      </c>
      <c r="C1" s="24" t="s">
        <v>4</v>
      </c>
      <c r="D1" s="24" t="s">
        <v>5</v>
      </c>
      <c r="E1" s="24" t="s">
        <v>6</v>
      </c>
      <c r="F1" s="24" t="s">
        <v>7</v>
      </c>
      <c r="G1" s="24" t="s">
        <v>8</v>
      </c>
      <c r="H1" s="24" t="s">
        <v>9</v>
      </c>
      <c r="I1" s="24" t="s">
        <v>10</v>
      </c>
      <c r="J1" s="24" t="s">
        <v>11</v>
      </c>
      <c r="K1" s="24" t="s">
        <v>12</v>
      </c>
      <c r="L1" s="24" t="s">
        <v>13</v>
      </c>
      <c r="M1" s="24" t="s">
        <v>14</v>
      </c>
      <c r="N1" s="24" t="s">
        <v>15</v>
      </c>
    </row>
    <row r="2" spans="1:14" x14ac:dyDescent="0.3">
      <c r="A2" s="23" t="s">
        <v>16</v>
      </c>
      <c r="B2" s="29">
        <v>45393</v>
      </c>
      <c r="C2" s="23" t="s">
        <v>17</v>
      </c>
      <c r="D2" s="23" t="s">
        <v>18</v>
      </c>
      <c r="E2" s="23" t="s">
        <v>19</v>
      </c>
      <c r="F2" s="23" t="s">
        <v>20</v>
      </c>
      <c r="G2" s="23" t="s">
        <v>21</v>
      </c>
      <c r="H2" s="23">
        <v>3</v>
      </c>
      <c r="I2" s="23">
        <v>249.99</v>
      </c>
      <c r="J2" s="23" t="s">
        <v>22</v>
      </c>
      <c r="K2" s="23" t="s">
        <v>23</v>
      </c>
      <c r="L2" s="23" t="s">
        <v>24</v>
      </c>
      <c r="M2" s="29">
        <v>44425</v>
      </c>
      <c r="N2" s="23">
        <v>749.97</v>
      </c>
    </row>
    <row r="3" spans="1:14" x14ac:dyDescent="0.3">
      <c r="A3" s="23" t="s">
        <v>25</v>
      </c>
      <c r="B3" s="29">
        <v>45396</v>
      </c>
      <c r="C3" s="23" t="s">
        <v>26</v>
      </c>
      <c r="D3" s="23" t="s">
        <v>27</v>
      </c>
      <c r="E3" s="23" t="s">
        <v>19</v>
      </c>
      <c r="F3" s="23" t="s">
        <v>20</v>
      </c>
      <c r="G3" s="23" t="s">
        <v>21</v>
      </c>
      <c r="H3" s="23">
        <v>3</v>
      </c>
      <c r="I3" s="23">
        <v>249.99</v>
      </c>
      <c r="J3" s="23" t="s">
        <v>28</v>
      </c>
      <c r="K3" s="23" t="s">
        <v>23</v>
      </c>
      <c r="L3" s="23" t="s">
        <v>29</v>
      </c>
      <c r="M3" s="29">
        <v>44575</v>
      </c>
      <c r="N3" s="23">
        <v>749.97</v>
      </c>
    </row>
    <row r="4" spans="1:14" x14ac:dyDescent="0.3">
      <c r="A4" s="23" t="s">
        <v>30</v>
      </c>
      <c r="B4" s="29">
        <v>45399</v>
      </c>
      <c r="C4" s="23" t="s">
        <v>31</v>
      </c>
      <c r="D4" s="23" t="s">
        <v>32</v>
      </c>
      <c r="E4" s="23" t="s">
        <v>33</v>
      </c>
      <c r="F4" s="23" t="s">
        <v>34</v>
      </c>
      <c r="G4" s="23" t="s">
        <v>35</v>
      </c>
      <c r="H4" s="23">
        <v>3</v>
      </c>
      <c r="I4" s="23">
        <v>59.99</v>
      </c>
      <c r="J4" s="23" t="s">
        <v>36</v>
      </c>
      <c r="K4" s="23" t="s">
        <v>37</v>
      </c>
      <c r="L4" s="23" t="s">
        <v>38</v>
      </c>
      <c r="M4" s="29">
        <v>45262</v>
      </c>
      <c r="N4" s="23">
        <v>179.97</v>
      </c>
    </row>
    <row r="5" spans="1:14" x14ac:dyDescent="0.3">
      <c r="A5" s="23" t="s">
        <v>39</v>
      </c>
      <c r="B5" s="29">
        <v>45400</v>
      </c>
      <c r="C5" s="23" t="s">
        <v>40</v>
      </c>
      <c r="D5" s="23" t="s">
        <v>41</v>
      </c>
      <c r="E5" s="23" t="s">
        <v>33</v>
      </c>
      <c r="F5" s="23" t="s">
        <v>34</v>
      </c>
      <c r="G5" s="23" t="s">
        <v>35</v>
      </c>
      <c r="H5" s="23">
        <v>3</v>
      </c>
      <c r="I5" s="23">
        <v>59.99</v>
      </c>
      <c r="J5" s="23" t="s">
        <v>22</v>
      </c>
      <c r="K5" s="23" t="s">
        <v>42</v>
      </c>
      <c r="L5" s="23" t="s">
        <v>29</v>
      </c>
      <c r="M5" s="29">
        <v>45114</v>
      </c>
      <c r="N5" s="23">
        <v>179.97</v>
      </c>
    </row>
    <row r="6" spans="1:14" x14ac:dyDescent="0.3">
      <c r="A6" s="23" t="s">
        <v>43</v>
      </c>
      <c r="B6" s="29">
        <v>45400</v>
      </c>
      <c r="C6" s="23" t="s">
        <v>44</v>
      </c>
      <c r="D6" s="23" t="s">
        <v>45</v>
      </c>
      <c r="E6" s="23" t="s">
        <v>46</v>
      </c>
      <c r="F6" s="23" t="s">
        <v>47</v>
      </c>
      <c r="G6" s="23" t="s">
        <v>48</v>
      </c>
      <c r="H6" s="23">
        <v>5</v>
      </c>
      <c r="I6" s="23">
        <v>149.99</v>
      </c>
      <c r="J6" s="23" t="s">
        <v>28</v>
      </c>
      <c r="K6" s="23" t="s">
        <v>42</v>
      </c>
      <c r="L6" s="23" t="s">
        <v>29</v>
      </c>
      <c r="M6" s="29">
        <v>45295</v>
      </c>
      <c r="N6" s="23">
        <v>749.95</v>
      </c>
    </row>
    <row r="7" spans="1:14" x14ac:dyDescent="0.3">
      <c r="A7" s="23" t="s">
        <v>49</v>
      </c>
      <c r="B7" s="29">
        <v>45403</v>
      </c>
      <c r="C7" s="23" t="s">
        <v>50</v>
      </c>
      <c r="D7" s="23" t="s">
        <v>51</v>
      </c>
      <c r="E7" s="23" t="s">
        <v>33</v>
      </c>
      <c r="F7" s="23" t="s">
        <v>34</v>
      </c>
      <c r="G7" s="23" t="s">
        <v>35</v>
      </c>
      <c r="H7" s="23">
        <v>2</v>
      </c>
      <c r="I7" s="23">
        <v>59.99</v>
      </c>
      <c r="J7" s="23" t="s">
        <v>22</v>
      </c>
      <c r="K7" s="23" t="s">
        <v>52</v>
      </c>
      <c r="L7" s="23" t="s">
        <v>38</v>
      </c>
      <c r="M7" s="29">
        <v>44746</v>
      </c>
      <c r="N7" s="23">
        <v>119.98</v>
      </c>
    </row>
    <row r="8" spans="1:14" x14ac:dyDescent="0.3">
      <c r="A8" s="23" t="s">
        <v>53</v>
      </c>
      <c r="B8" s="29">
        <v>45403</v>
      </c>
      <c r="C8" s="23" t="s">
        <v>50</v>
      </c>
      <c r="D8" s="23" t="s">
        <v>51</v>
      </c>
      <c r="E8" s="23" t="s">
        <v>54</v>
      </c>
      <c r="F8" s="23" t="s">
        <v>55</v>
      </c>
      <c r="G8" s="23" t="s">
        <v>21</v>
      </c>
      <c r="H8" s="23">
        <v>5</v>
      </c>
      <c r="I8" s="23">
        <v>149.99</v>
      </c>
      <c r="J8" s="23" t="s">
        <v>28</v>
      </c>
      <c r="K8" s="23" t="s">
        <v>23</v>
      </c>
      <c r="L8" s="23" t="s">
        <v>38</v>
      </c>
      <c r="M8" s="29">
        <v>44418</v>
      </c>
      <c r="N8" s="23">
        <v>749.95</v>
      </c>
    </row>
    <row r="9" spans="1:14" x14ac:dyDescent="0.3">
      <c r="A9" s="23" t="s">
        <v>56</v>
      </c>
      <c r="B9" s="29">
        <v>45403</v>
      </c>
      <c r="C9" s="23" t="s">
        <v>57</v>
      </c>
      <c r="D9" s="23" t="s">
        <v>58</v>
      </c>
      <c r="E9" s="23" t="s">
        <v>33</v>
      </c>
      <c r="F9" s="23" t="s">
        <v>34</v>
      </c>
      <c r="G9" s="23" t="s">
        <v>35</v>
      </c>
      <c r="H9" s="23">
        <v>3</v>
      </c>
      <c r="I9" s="23">
        <v>59.99</v>
      </c>
      <c r="J9" s="23" t="s">
        <v>59</v>
      </c>
      <c r="K9" s="23" t="s">
        <v>37</v>
      </c>
      <c r="L9" s="23" t="s">
        <v>24</v>
      </c>
      <c r="M9" s="29">
        <v>45007</v>
      </c>
      <c r="N9" s="23">
        <v>179.97</v>
      </c>
    </row>
    <row r="10" spans="1:14" x14ac:dyDescent="0.3">
      <c r="A10" s="23" t="s">
        <v>60</v>
      </c>
      <c r="B10" s="29">
        <v>45405</v>
      </c>
      <c r="C10" s="23" t="s">
        <v>61</v>
      </c>
      <c r="D10" s="23" t="s">
        <v>62</v>
      </c>
      <c r="E10" s="23" t="s">
        <v>63</v>
      </c>
      <c r="F10" s="23" t="s">
        <v>64</v>
      </c>
      <c r="G10" s="23" t="s">
        <v>21</v>
      </c>
      <c r="H10" s="23">
        <v>3</v>
      </c>
      <c r="I10" s="23">
        <v>899.99</v>
      </c>
      <c r="J10" s="23" t="s">
        <v>36</v>
      </c>
      <c r="K10" s="23" t="s">
        <v>65</v>
      </c>
      <c r="L10" s="23" t="s">
        <v>38</v>
      </c>
      <c r="M10" s="29">
        <v>45299</v>
      </c>
      <c r="N10" s="23">
        <v>2699.97</v>
      </c>
    </row>
    <row r="11" spans="1:14" x14ac:dyDescent="0.3">
      <c r="A11" s="23" t="s">
        <v>66</v>
      </c>
      <c r="B11" s="29">
        <v>45408</v>
      </c>
      <c r="C11" s="23" t="s">
        <v>67</v>
      </c>
      <c r="D11" s="23" t="s">
        <v>68</v>
      </c>
      <c r="E11" s="23" t="s">
        <v>33</v>
      </c>
      <c r="F11" s="23" t="s">
        <v>34</v>
      </c>
      <c r="G11" s="23" t="s">
        <v>35</v>
      </c>
      <c r="H11" s="23">
        <v>3</v>
      </c>
      <c r="I11" s="23">
        <v>59.99</v>
      </c>
      <c r="J11" s="23" t="s">
        <v>22</v>
      </c>
      <c r="K11" s="23" t="s">
        <v>52</v>
      </c>
      <c r="L11" s="23" t="s">
        <v>29</v>
      </c>
      <c r="M11" s="29">
        <v>45207</v>
      </c>
      <c r="N11" s="23">
        <v>179.97</v>
      </c>
    </row>
    <row r="12" spans="1:14" x14ac:dyDescent="0.3">
      <c r="A12" s="23" t="s">
        <v>69</v>
      </c>
      <c r="B12" s="29">
        <v>45408</v>
      </c>
      <c r="C12" s="23" t="s">
        <v>70</v>
      </c>
      <c r="D12" s="23" t="s">
        <v>71</v>
      </c>
      <c r="E12" s="23" t="s">
        <v>46</v>
      </c>
      <c r="F12" s="23" t="s">
        <v>47</v>
      </c>
      <c r="G12" s="23" t="s">
        <v>48</v>
      </c>
      <c r="H12" s="23">
        <v>1</v>
      </c>
      <c r="I12" s="23">
        <v>149.99</v>
      </c>
      <c r="J12" s="23" t="s">
        <v>28</v>
      </c>
      <c r="K12" s="23" t="s">
        <v>52</v>
      </c>
      <c r="L12" s="23" t="s">
        <v>38</v>
      </c>
      <c r="M12" s="29">
        <v>45103</v>
      </c>
      <c r="N12" s="23">
        <v>149.99</v>
      </c>
    </row>
    <row r="13" spans="1:14" x14ac:dyDescent="0.3">
      <c r="A13" s="23" t="s">
        <v>72</v>
      </c>
      <c r="B13" s="29">
        <v>45408</v>
      </c>
      <c r="C13" s="23" t="s">
        <v>40</v>
      </c>
      <c r="D13" s="23" t="s">
        <v>41</v>
      </c>
      <c r="E13" s="23" t="s">
        <v>46</v>
      </c>
      <c r="F13" s="23" t="s">
        <v>47</v>
      </c>
      <c r="G13" s="23" t="s">
        <v>48</v>
      </c>
      <c r="H13" s="23">
        <v>5</v>
      </c>
      <c r="I13" s="23">
        <v>149.99</v>
      </c>
      <c r="J13" s="23" t="s">
        <v>59</v>
      </c>
      <c r="K13" s="23" t="s">
        <v>42</v>
      </c>
      <c r="L13" s="23" t="s">
        <v>24</v>
      </c>
      <c r="M13" s="29">
        <v>44830</v>
      </c>
      <c r="N13" s="23">
        <v>749.95</v>
      </c>
    </row>
    <row r="14" spans="1:14" x14ac:dyDescent="0.3">
      <c r="A14" s="23" t="s">
        <v>73</v>
      </c>
      <c r="B14" s="29">
        <v>45408</v>
      </c>
      <c r="C14" s="23" t="s">
        <v>74</v>
      </c>
      <c r="D14" s="23" t="s">
        <v>75</v>
      </c>
      <c r="E14" s="23" t="s">
        <v>46</v>
      </c>
      <c r="F14" s="23" t="s">
        <v>47</v>
      </c>
      <c r="G14" s="23" t="s">
        <v>48</v>
      </c>
      <c r="H14" s="23">
        <v>3</v>
      </c>
      <c r="I14" s="23">
        <v>149.99</v>
      </c>
      <c r="J14" s="23" t="s">
        <v>22</v>
      </c>
      <c r="K14" s="23" t="s">
        <v>42</v>
      </c>
      <c r="L14" s="23" t="s">
        <v>29</v>
      </c>
      <c r="M14" s="29">
        <v>44806</v>
      </c>
      <c r="N14" s="23">
        <v>449.97</v>
      </c>
    </row>
    <row r="15" spans="1:14" x14ac:dyDescent="0.3">
      <c r="A15" s="23" t="s">
        <v>76</v>
      </c>
      <c r="B15" s="29">
        <v>45409</v>
      </c>
      <c r="C15" s="23" t="s">
        <v>77</v>
      </c>
      <c r="D15" s="23" t="s">
        <v>78</v>
      </c>
      <c r="E15" s="23" t="s">
        <v>33</v>
      </c>
      <c r="F15" s="23" t="s">
        <v>34</v>
      </c>
      <c r="G15" s="23" t="s">
        <v>35</v>
      </c>
      <c r="H15" s="23">
        <v>3</v>
      </c>
      <c r="I15" s="23">
        <v>59.99</v>
      </c>
      <c r="J15" s="23" t="s">
        <v>28</v>
      </c>
      <c r="K15" s="23" t="s">
        <v>42</v>
      </c>
      <c r="L15" s="23" t="s">
        <v>38</v>
      </c>
      <c r="M15" s="29">
        <v>45351</v>
      </c>
      <c r="N15" s="23">
        <v>179.97</v>
      </c>
    </row>
    <row r="16" spans="1:14" x14ac:dyDescent="0.3">
      <c r="A16" s="23" t="s">
        <v>79</v>
      </c>
      <c r="B16" s="29">
        <v>45409</v>
      </c>
      <c r="C16" s="23" t="s">
        <v>80</v>
      </c>
      <c r="D16" s="23" t="s">
        <v>81</v>
      </c>
      <c r="E16" s="23" t="s">
        <v>82</v>
      </c>
      <c r="F16" s="23" t="s">
        <v>83</v>
      </c>
      <c r="G16" s="23" t="s">
        <v>21</v>
      </c>
      <c r="H16" s="23">
        <v>3</v>
      </c>
      <c r="I16" s="23">
        <v>699.99</v>
      </c>
      <c r="J16" s="23" t="s">
        <v>28</v>
      </c>
      <c r="K16" s="23" t="s">
        <v>52</v>
      </c>
      <c r="L16" s="23" t="s">
        <v>24</v>
      </c>
      <c r="M16" s="29">
        <v>44577</v>
      </c>
      <c r="N16" s="23">
        <v>2099.9699999999998</v>
      </c>
    </row>
    <row r="17" spans="1:14" x14ac:dyDescent="0.3">
      <c r="A17" s="23" t="s">
        <v>84</v>
      </c>
      <c r="B17" s="29">
        <v>45409</v>
      </c>
      <c r="C17" s="23" t="s">
        <v>85</v>
      </c>
      <c r="D17" s="23" t="s">
        <v>86</v>
      </c>
      <c r="E17" s="23" t="s">
        <v>63</v>
      </c>
      <c r="F17" s="23" t="s">
        <v>64</v>
      </c>
      <c r="G17" s="23" t="s">
        <v>21</v>
      </c>
      <c r="H17" s="23">
        <v>1</v>
      </c>
      <c r="I17" s="23">
        <v>899.99</v>
      </c>
      <c r="J17" s="23" t="s">
        <v>59</v>
      </c>
      <c r="K17" s="23" t="s">
        <v>42</v>
      </c>
      <c r="L17" s="23" t="s">
        <v>38</v>
      </c>
      <c r="M17" s="29">
        <v>44920</v>
      </c>
      <c r="N17" s="23">
        <v>899.99</v>
      </c>
    </row>
    <row r="18" spans="1:14" x14ac:dyDescent="0.3">
      <c r="A18" s="23" t="s">
        <v>87</v>
      </c>
      <c r="B18" s="29">
        <v>45410</v>
      </c>
      <c r="C18" s="23" t="s">
        <v>88</v>
      </c>
      <c r="D18" s="23" t="s">
        <v>89</v>
      </c>
      <c r="E18" s="23" t="s">
        <v>46</v>
      </c>
      <c r="F18" s="23" t="s">
        <v>47</v>
      </c>
      <c r="G18" s="23" t="s">
        <v>48</v>
      </c>
      <c r="H18" s="23">
        <v>4</v>
      </c>
      <c r="I18" s="23">
        <v>149.99</v>
      </c>
      <c r="J18" s="23" t="s">
        <v>59</v>
      </c>
      <c r="K18" s="23" t="s">
        <v>42</v>
      </c>
      <c r="L18" s="23" t="s">
        <v>29</v>
      </c>
      <c r="M18" s="29">
        <v>45374</v>
      </c>
      <c r="N18" s="23">
        <v>599.96</v>
      </c>
    </row>
    <row r="19" spans="1:14" x14ac:dyDescent="0.3">
      <c r="A19" s="23" t="s">
        <v>90</v>
      </c>
      <c r="B19" s="29">
        <v>45410</v>
      </c>
      <c r="C19" s="23" t="s">
        <v>91</v>
      </c>
      <c r="D19" s="23" t="s">
        <v>92</v>
      </c>
      <c r="E19" s="23" t="s">
        <v>82</v>
      </c>
      <c r="F19" s="23" t="s">
        <v>83</v>
      </c>
      <c r="G19" s="23" t="s">
        <v>21</v>
      </c>
      <c r="H19" s="23">
        <v>2</v>
      </c>
      <c r="I19" s="23">
        <v>699.99</v>
      </c>
      <c r="J19" s="23" t="s">
        <v>22</v>
      </c>
      <c r="K19" s="23" t="s">
        <v>42</v>
      </c>
      <c r="L19" s="23" t="s">
        <v>24</v>
      </c>
      <c r="M19" s="29">
        <v>44781</v>
      </c>
      <c r="N19" s="23">
        <v>1399.98</v>
      </c>
    </row>
    <row r="20" spans="1:14" x14ac:dyDescent="0.3">
      <c r="A20" s="23" t="s">
        <v>93</v>
      </c>
      <c r="B20" s="29">
        <v>45410</v>
      </c>
      <c r="C20" s="23" t="s">
        <v>88</v>
      </c>
      <c r="D20" s="23" t="s">
        <v>89</v>
      </c>
      <c r="E20" s="23" t="s">
        <v>63</v>
      </c>
      <c r="F20" s="23" t="s">
        <v>64</v>
      </c>
      <c r="G20" s="23" t="s">
        <v>21</v>
      </c>
      <c r="H20" s="23">
        <v>4</v>
      </c>
      <c r="I20" s="23">
        <v>899.99</v>
      </c>
      <c r="J20" s="23" t="s">
        <v>28</v>
      </c>
      <c r="K20" s="23" t="s">
        <v>52</v>
      </c>
      <c r="L20" s="23" t="s">
        <v>38</v>
      </c>
      <c r="M20" s="29">
        <v>45327</v>
      </c>
      <c r="N20" s="23">
        <v>3599.96</v>
      </c>
    </row>
    <row r="21" spans="1:14" x14ac:dyDescent="0.3">
      <c r="A21" s="23" t="s">
        <v>94</v>
      </c>
      <c r="B21" s="29">
        <v>45410</v>
      </c>
      <c r="C21" s="23" t="s">
        <v>95</v>
      </c>
      <c r="D21" s="23" t="s">
        <v>96</v>
      </c>
      <c r="E21" s="23" t="s">
        <v>19</v>
      </c>
      <c r="F21" s="23" t="s">
        <v>20</v>
      </c>
      <c r="G21" s="23" t="s">
        <v>21</v>
      </c>
      <c r="H21" s="23">
        <v>3</v>
      </c>
      <c r="I21" s="23">
        <v>249.99</v>
      </c>
      <c r="J21" s="23" t="s">
        <v>28</v>
      </c>
      <c r="K21" s="23" t="s">
        <v>42</v>
      </c>
      <c r="L21" s="23" t="s">
        <v>29</v>
      </c>
      <c r="M21" s="29">
        <v>45224</v>
      </c>
      <c r="N21" s="23">
        <v>749.97</v>
      </c>
    </row>
    <row r="22" spans="1:14" x14ac:dyDescent="0.3">
      <c r="A22" s="23" t="s">
        <v>97</v>
      </c>
      <c r="B22" s="29">
        <v>45412</v>
      </c>
      <c r="C22" s="23" t="s">
        <v>98</v>
      </c>
      <c r="D22" s="23" t="s">
        <v>99</v>
      </c>
      <c r="E22" s="23" t="s">
        <v>82</v>
      </c>
      <c r="F22" s="23" t="s">
        <v>83</v>
      </c>
      <c r="G22" s="23" t="s">
        <v>21</v>
      </c>
      <c r="H22" s="23">
        <v>5</v>
      </c>
      <c r="I22" s="23">
        <v>699.99</v>
      </c>
      <c r="J22" s="23" t="s">
        <v>22</v>
      </c>
      <c r="K22" s="23" t="s">
        <v>52</v>
      </c>
      <c r="L22" s="23" t="s">
        <v>24</v>
      </c>
      <c r="M22" s="29">
        <v>45167</v>
      </c>
      <c r="N22" s="23">
        <v>3499.95</v>
      </c>
    </row>
    <row r="23" spans="1:14" x14ac:dyDescent="0.3">
      <c r="A23" s="23" t="s">
        <v>100</v>
      </c>
      <c r="B23" s="29">
        <v>45413</v>
      </c>
      <c r="C23" s="23" t="s">
        <v>101</v>
      </c>
      <c r="D23" s="23" t="s">
        <v>102</v>
      </c>
      <c r="E23" s="23" t="s">
        <v>82</v>
      </c>
      <c r="F23" s="23" t="s">
        <v>83</v>
      </c>
      <c r="G23" s="23" t="s">
        <v>21</v>
      </c>
      <c r="H23" s="23">
        <v>4</v>
      </c>
      <c r="I23" s="23">
        <v>699.99</v>
      </c>
      <c r="J23" s="23" t="s">
        <v>22</v>
      </c>
      <c r="K23" s="23" t="s">
        <v>65</v>
      </c>
      <c r="L23" s="23" t="s">
        <v>38</v>
      </c>
      <c r="M23" s="29">
        <v>44409</v>
      </c>
      <c r="N23" s="23">
        <v>2799.96</v>
      </c>
    </row>
    <row r="24" spans="1:14" x14ac:dyDescent="0.3">
      <c r="A24" s="23" t="s">
        <v>103</v>
      </c>
      <c r="B24" s="29">
        <v>45415</v>
      </c>
      <c r="C24" s="23" t="s">
        <v>104</v>
      </c>
      <c r="D24" s="23" t="s">
        <v>105</v>
      </c>
      <c r="E24" s="23" t="s">
        <v>19</v>
      </c>
      <c r="F24" s="23" t="s">
        <v>20</v>
      </c>
      <c r="G24" s="23" t="s">
        <v>21</v>
      </c>
      <c r="H24" s="23">
        <v>4</v>
      </c>
      <c r="I24" s="23">
        <v>249.99</v>
      </c>
      <c r="J24" s="23" t="s">
        <v>36</v>
      </c>
      <c r="K24" s="23" t="s">
        <v>42</v>
      </c>
      <c r="L24" s="23" t="s">
        <v>38</v>
      </c>
      <c r="M24" s="29">
        <v>44468</v>
      </c>
      <c r="N24" s="23">
        <v>999.96</v>
      </c>
    </row>
    <row r="25" spans="1:14" x14ac:dyDescent="0.3">
      <c r="A25" s="23" t="s">
        <v>106</v>
      </c>
      <c r="B25" s="29">
        <v>45416</v>
      </c>
      <c r="C25" s="23" t="s">
        <v>88</v>
      </c>
      <c r="D25" s="23" t="s">
        <v>89</v>
      </c>
      <c r="E25" s="23" t="s">
        <v>107</v>
      </c>
      <c r="F25" s="23" t="s">
        <v>108</v>
      </c>
      <c r="G25" s="23" t="s">
        <v>48</v>
      </c>
      <c r="H25" s="23">
        <v>4</v>
      </c>
      <c r="I25" s="23">
        <v>299.99</v>
      </c>
      <c r="J25" s="23" t="s">
        <v>22</v>
      </c>
      <c r="K25" s="23" t="s">
        <v>52</v>
      </c>
      <c r="L25" s="23" t="s">
        <v>29</v>
      </c>
      <c r="M25" s="29">
        <v>44716</v>
      </c>
      <c r="N25" s="23">
        <v>1199.96</v>
      </c>
    </row>
    <row r="26" spans="1:14" x14ac:dyDescent="0.3">
      <c r="A26" s="23" t="s">
        <v>109</v>
      </c>
      <c r="B26" s="29">
        <v>45422</v>
      </c>
      <c r="C26" s="23" t="s">
        <v>110</v>
      </c>
      <c r="D26" s="23" t="s">
        <v>111</v>
      </c>
      <c r="E26" s="23" t="s">
        <v>19</v>
      </c>
      <c r="F26" s="23" t="s">
        <v>20</v>
      </c>
      <c r="G26" s="23" t="s">
        <v>21</v>
      </c>
      <c r="H26" s="23">
        <v>5</v>
      </c>
      <c r="I26" s="23">
        <v>249.99</v>
      </c>
      <c r="J26" s="23" t="s">
        <v>28</v>
      </c>
      <c r="K26" s="23" t="s">
        <v>52</v>
      </c>
      <c r="L26" s="23" t="s">
        <v>38</v>
      </c>
      <c r="M26" s="29">
        <v>44525</v>
      </c>
      <c r="N26" s="23">
        <v>1249.95</v>
      </c>
    </row>
    <row r="27" spans="1:14" x14ac:dyDescent="0.3">
      <c r="A27" s="23" t="s">
        <v>112</v>
      </c>
      <c r="B27" s="29">
        <v>45424</v>
      </c>
      <c r="C27" s="23" t="s">
        <v>70</v>
      </c>
      <c r="D27" s="23" t="s">
        <v>71</v>
      </c>
      <c r="E27" s="23" t="s">
        <v>107</v>
      </c>
      <c r="F27" s="23" t="s">
        <v>108</v>
      </c>
      <c r="G27" s="23" t="s">
        <v>48</v>
      </c>
      <c r="H27" s="23">
        <v>5</v>
      </c>
      <c r="I27" s="23">
        <v>299.99</v>
      </c>
      <c r="J27" s="23" t="s">
        <v>36</v>
      </c>
      <c r="K27" s="23" t="s">
        <v>65</v>
      </c>
      <c r="L27" s="23" t="s">
        <v>24</v>
      </c>
      <c r="M27" s="29">
        <v>45168</v>
      </c>
      <c r="N27" s="23">
        <v>1499.95</v>
      </c>
    </row>
    <row r="28" spans="1:14" x14ac:dyDescent="0.3">
      <c r="A28" s="23" t="s">
        <v>113</v>
      </c>
      <c r="B28" s="29">
        <v>45424</v>
      </c>
      <c r="C28" s="23" t="s">
        <v>114</v>
      </c>
      <c r="D28" s="23" t="s">
        <v>115</v>
      </c>
      <c r="E28" s="23" t="s">
        <v>116</v>
      </c>
      <c r="F28" s="23" t="s">
        <v>117</v>
      </c>
      <c r="G28" s="23" t="s">
        <v>35</v>
      </c>
      <c r="H28" s="23">
        <v>3</v>
      </c>
      <c r="I28" s="23">
        <v>79.989999999999995</v>
      </c>
      <c r="J28" s="23" t="s">
        <v>36</v>
      </c>
      <c r="K28" s="23" t="s">
        <v>65</v>
      </c>
      <c r="L28" s="23" t="s">
        <v>29</v>
      </c>
      <c r="M28" s="29">
        <v>45012</v>
      </c>
      <c r="N28" s="23">
        <v>239.97</v>
      </c>
    </row>
    <row r="29" spans="1:14" x14ac:dyDescent="0.3">
      <c r="A29" s="23" t="s">
        <v>118</v>
      </c>
      <c r="B29" s="29">
        <v>45424</v>
      </c>
      <c r="C29" s="23" t="s">
        <v>101</v>
      </c>
      <c r="D29" s="23" t="s">
        <v>102</v>
      </c>
      <c r="E29" s="23" t="s">
        <v>119</v>
      </c>
      <c r="F29" s="23" t="s">
        <v>120</v>
      </c>
      <c r="G29" s="23" t="s">
        <v>21</v>
      </c>
      <c r="H29" s="23">
        <v>5</v>
      </c>
      <c r="I29" s="23">
        <v>89.99</v>
      </c>
      <c r="J29" s="23" t="s">
        <v>22</v>
      </c>
      <c r="K29" s="23" t="s">
        <v>42</v>
      </c>
      <c r="L29" s="23" t="s">
        <v>29</v>
      </c>
      <c r="M29" s="29">
        <v>44919</v>
      </c>
      <c r="N29" s="23">
        <v>449.95</v>
      </c>
    </row>
    <row r="30" spans="1:14" x14ac:dyDescent="0.3">
      <c r="A30" s="23" t="s">
        <v>121</v>
      </c>
      <c r="B30" s="29">
        <v>45425</v>
      </c>
      <c r="C30" s="23" t="s">
        <v>122</v>
      </c>
      <c r="D30" s="23" t="s">
        <v>123</v>
      </c>
      <c r="E30" s="23" t="s">
        <v>33</v>
      </c>
      <c r="F30" s="23" t="s">
        <v>34</v>
      </c>
      <c r="G30" s="23" t="s">
        <v>35</v>
      </c>
      <c r="H30" s="23">
        <v>2</v>
      </c>
      <c r="I30" s="23">
        <v>59.99</v>
      </c>
      <c r="J30" s="23" t="s">
        <v>59</v>
      </c>
      <c r="K30" s="23" t="s">
        <v>23</v>
      </c>
      <c r="L30" s="23" t="s">
        <v>38</v>
      </c>
      <c r="M30" s="29">
        <v>45214</v>
      </c>
      <c r="N30" s="23">
        <v>119.98</v>
      </c>
    </row>
    <row r="31" spans="1:14" x14ac:dyDescent="0.3">
      <c r="A31" s="23" t="s">
        <v>124</v>
      </c>
      <c r="B31" s="29">
        <v>45427</v>
      </c>
      <c r="C31" s="23" t="s">
        <v>125</v>
      </c>
      <c r="D31" s="23" t="s">
        <v>126</v>
      </c>
      <c r="E31" s="23" t="s">
        <v>33</v>
      </c>
      <c r="F31" s="23" t="s">
        <v>34</v>
      </c>
      <c r="G31" s="23" t="s">
        <v>35</v>
      </c>
      <c r="H31" s="23">
        <v>4</v>
      </c>
      <c r="I31" s="23">
        <v>59.99</v>
      </c>
      <c r="J31" s="23" t="s">
        <v>59</v>
      </c>
      <c r="K31" s="23" t="s">
        <v>65</v>
      </c>
      <c r="L31" s="23" t="s">
        <v>38</v>
      </c>
      <c r="M31" s="29">
        <v>44867</v>
      </c>
      <c r="N31" s="23">
        <v>239.96</v>
      </c>
    </row>
    <row r="32" spans="1:14" x14ac:dyDescent="0.3">
      <c r="A32" s="23" t="s">
        <v>127</v>
      </c>
      <c r="B32" s="29">
        <v>45427</v>
      </c>
      <c r="C32" s="23" t="s">
        <v>57</v>
      </c>
      <c r="D32" s="23" t="s">
        <v>58</v>
      </c>
      <c r="E32" s="23" t="s">
        <v>128</v>
      </c>
      <c r="F32" s="23" t="s">
        <v>129</v>
      </c>
      <c r="G32" s="23" t="s">
        <v>48</v>
      </c>
      <c r="H32" s="23">
        <v>5</v>
      </c>
      <c r="I32" s="23">
        <v>199.99</v>
      </c>
      <c r="J32" s="23" t="s">
        <v>22</v>
      </c>
      <c r="K32" s="23" t="s">
        <v>37</v>
      </c>
      <c r="L32" s="23" t="s">
        <v>38</v>
      </c>
      <c r="M32" s="29">
        <v>44412</v>
      </c>
      <c r="N32" s="23">
        <v>999.95</v>
      </c>
    </row>
    <row r="33" spans="1:14" x14ac:dyDescent="0.3">
      <c r="A33" s="23" t="s">
        <v>130</v>
      </c>
      <c r="B33" s="29">
        <v>45428</v>
      </c>
      <c r="C33" s="23" t="s">
        <v>131</v>
      </c>
      <c r="D33" s="23" t="s">
        <v>132</v>
      </c>
      <c r="E33" s="23" t="s">
        <v>46</v>
      </c>
      <c r="F33" s="23" t="s">
        <v>47</v>
      </c>
      <c r="G33" s="23" t="s">
        <v>48</v>
      </c>
      <c r="H33" s="23">
        <v>2</v>
      </c>
      <c r="I33" s="23">
        <v>149.99</v>
      </c>
      <c r="J33" s="23" t="s">
        <v>28</v>
      </c>
      <c r="K33" s="23" t="s">
        <v>52</v>
      </c>
      <c r="L33" s="23" t="s">
        <v>24</v>
      </c>
      <c r="M33" s="29">
        <v>44823</v>
      </c>
      <c r="N33" s="23">
        <v>299.98</v>
      </c>
    </row>
    <row r="34" spans="1:14" x14ac:dyDescent="0.3">
      <c r="A34" s="23" t="s">
        <v>133</v>
      </c>
      <c r="B34" s="29">
        <v>45430</v>
      </c>
      <c r="C34" s="23" t="s">
        <v>134</v>
      </c>
      <c r="D34" s="23" t="s">
        <v>135</v>
      </c>
      <c r="E34" s="23" t="s">
        <v>46</v>
      </c>
      <c r="F34" s="23" t="s">
        <v>47</v>
      </c>
      <c r="G34" s="23" t="s">
        <v>48</v>
      </c>
      <c r="H34" s="23">
        <v>3</v>
      </c>
      <c r="I34" s="23">
        <v>149.99</v>
      </c>
      <c r="J34" s="23" t="s">
        <v>28</v>
      </c>
      <c r="K34" s="23" t="s">
        <v>52</v>
      </c>
      <c r="L34" s="23" t="s">
        <v>29</v>
      </c>
      <c r="M34" s="29">
        <v>45068</v>
      </c>
      <c r="N34" s="23">
        <v>449.97</v>
      </c>
    </row>
    <row r="35" spans="1:14" x14ac:dyDescent="0.3">
      <c r="A35" s="23" t="s">
        <v>136</v>
      </c>
      <c r="B35" s="29">
        <v>45432</v>
      </c>
      <c r="C35" s="23" t="s">
        <v>31</v>
      </c>
      <c r="D35" s="23" t="s">
        <v>32</v>
      </c>
      <c r="E35" s="23" t="s">
        <v>63</v>
      </c>
      <c r="F35" s="23" t="s">
        <v>64</v>
      </c>
      <c r="G35" s="23" t="s">
        <v>21</v>
      </c>
      <c r="H35" s="23">
        <v>1</v>
      </c>
      <c r="I35" s="23">
        <v>899.99</v>
      </c>
      <c r="J35" s="23" t="s">
        <v>28</v>
      </c>
      <c r="K35" s="23" t="s">
        <v>52</v>
      </c>
      <c r="L35" s="23" t="s">
        <v>29</v>
      </c>
      <c r="M35" s="29">
        <v>44578</v>
      </c>
      <c r="N35" s="23">
        <v>899.99</v>
      </c>
    </row>
    <row r="36" spans="1:14" x14ac:dyDescent="0.3">
      <c r="A36" s="23" t="s">
        <v>137</v>
      </c>
      <c r="B36" s="29">
        <v>45434</v>
      </c>
      <c r="C36" s="23" t="s">
        <v>101</v>
      </c>
      <c r="D36" s="23" t="s">
        <v>102</v>
      </c>
      <c r="E36" s="23" t="s">
        <v>107</v>
      </c>
      <c r="F36" s="23" t="s">
        <v>108</v>
      </c>
      <c r="G36" s="23" t="s">
        <v>48</v>
      </c>
      <c r="H36" s="23">
        <v>3</v>
      </c>
      <c r="I36" s="23">
        <v>299.99</v>
      </c>
      <c r="J36" s="23" t="s">
        <v>28</v>
      </c>
      <c r="K36" s="23" t="s">
        <v>65</v>
      </c>
      <c r="L36" s="23" t="s">
        <v>24</v>
      </c>
      <c r="M36" s="29">
        <v>44824</v>
      </c>
      <c r="N36" s="23">
        <v>899.97</v>
      </c>
    </row>
    <row r="37" spans="1:14" x14ac:dyDescent="0.3">
      <c r="A37" s="23" t="s">
        <v>138</v>
      </c>
      <c r="B37" s="29">
        <v>45435</v>
      </c>
      <c r="C37" s="23" t="s">
        <v>131</v>
      </c>
      <c r="D37" s="23" t="s">
        <v>132</v>
      </c>
      <c r="E37" s="23" t="s">
        <v>116</v>
      </c>
      <c r="F37" s="23" t="s">
        <v>117</v>
      </c>
      <c r="G37" s="23" t="s">
        <v>35</v>
      </c>
      <c r="H37" s="23">
        <v>3</v>
      </c>
      <c r="I37" s="23">
        <v>79.989999999999995</v>
      </c>
      <c r="J37" s="23" t="s">
        <v>22</v>
      </c>
      <c r="K37" s="23" t="s">
        <v>37</v>
      </c>
      <c r="L37" s="23" t="s">
        <v>24</v>
      </c>
      <c r="M37" s="29">
        <v>45046</v>
      </c>
      <c r="N37" s="23">
        <v>239.97</v>
      </c>
    </row>
    <row r="38" spans="1:14" x14ac:dyDescent="0.3">
      <c r="A38" s="23" t="s">
        <v>139</v>
      </c>
      <c r="B38" s="29">
        <v>45438</v>
      </c>
      <c r="C38" s="23" t="s">
        <v>140</v>
      </c>
      <c r="D38" s="23" t="s">
        <v>141</v>
      </c>
      <c r="E38" s="23" t="s">
        <v>128</v>
      </c>
      <c r="F38" s="23" t="s">
        <v>129</v>
      </c>
      <c r="G38" s="23" t="s">
        <v>48</v>
      </c>
      <c r="H38" s="23">
        <v>3</v>
      </c>
      <c r="I38" s="23">
        <v>199.99</v>
      </c>
      <c r="J38" s="23" t="s">
        <v>28</v>
      </c>
      <c r="K38" s="23" t="s">
        <v>42</v>
      </c>
      <c r="L38" s="23" t="s">
        <v>29</v>
      </c>
      <c r="M38" s="29">
        <v>45292</v>
      </c>
      <c r="N38" s="23">
        <v>599.97</v>
      </c>
    </row>
    <row r="39" spans="1:14" x14ac:dyDescent="0.3">
      <c r="A39" s="23" t="s">
        <v>142</v>
      </c>
      <c r="B39" s="29">
        <v>45440</v>
      </c>
      <c r="C39" s="23" t="s">
        <v>143</v>
      </c>
      <c r="D39" s="23" t="s">
        <v>144</v>
      </c>
      <c r="E39" s="23" t="s">
        <v>82</v>
      </c>
      <c r="F39" s="23" t="s">
        <v>83</v>
      </c>
      <c r="G39" s="23" t="s">
        <v>21</v>
      </c>
      <c r="H39" s="23">
        <v>5</v>
      </c>
      <c r="I39" s="23">
        <v>699.99</v>
      </c>
      <c r="J39" s="23" t="s">
        <v>36</v>
      </c>
      <c r="K39" s="23" t="s">
        <v>52</v>
      </c>
      <c r="L39" s="23" t="s">
        <v>38</v>
      </c>
      <c r="M39" s="29">
        <v>44407</v>
      </c>
      <c r="N39" s="23">
        <v>3499.95</v>
      </c>
    </row>
    <row r="40" spans="1:14" x14ac:dyDescent="0.3">
      <c r="A40" s="23" t="s">
        <v>145</v>
      </c>
      <c r="B40" s="29">
        <v>45441</v>
      </c>
      <c r="C40" s="23" t="s">
        <v>146</v>
      </c>
      <c r="D40" s="23" t="s">
        <v>147</v>
      </c>
      <c r="E40" s="23" t="s">
        <v>119</v>
      </c>
      <c r="F40" s="23" t="s">
        <v>120</v>
      </c>
      <c r="G40" s="23" t="s">
        <v>21</v>
      </c>
      <c r="H40" s="23">
        <v>3</v>
      </c>
      <c r="I40" s="23">
        <v>89.99</v>
      </c>
      <c r="J40" s="23" t="s">
        <v>36</v>
      </c>
      <c r="K40" s="23" t="s">
        <v>23</v>
      </c>
      <c r="L40" s="23" t="s">
        <v>29</v>
      </c>
      <c r="M40" s="29">
        <v>45120</v>
      </c>
      <c r="N40" s="23">
        <v>269.97000000000003</v>
      </c>
    </row>
    <row r="41" spans="1:14" x14ac:dyDescent="0.3">
      <c r="A41" s="23" t="s">
        <v>148</v>
      </c>
      <c r="B41" s="29">
        <v>45443</v>
      </c>
      <c r="C41" s="23" t="s">
        <v>149</v>
      </c>
      <c r="D41" s="23" t="s">
        <v>150</v>
      </c>
      <c r="E41" s="23" t="s">
        <v>116</v>
      </c>
      <c r="F41" s="23" t="s">
        <v>117</v>
      </c>
      <c r="G41" s="23" t="s">
        <v>35</v>
      </c>
      <c r="H41" s="23">
        <v>1</v>
      </c>
      <c r="I41" s="23">
        <v>79.989999999999995</v>
      </c>
      <c r="J41" s="23" t="s">
        <v>22</v>
      </c>
      <c r="K41" s="23" t="s">
        <v>42</v>
      </c>
      <c r="L41" s="23" t="s">
        <v>38</v>
      </c>
      <c r="M41" s="29">
        <v>44917</v>
      </c>
      <c r="N41" s="23">
        <v>79.989999999999995</v>
      </c>
    </row>
    <row r="42" spans="1:14" x14ac:dyDescent="0.3">
      <c r="A42" s="23" t="s">
        <v>151</v>
      </c>
      <c r="B42" s="29">
        <v>45444</v>
      </c>
      <c r="C42" s="23" t="s">
        <v>152</v>
      </c>
      <c r="D42" s="23" t="s">
        <v>153</v>
      </c>
      <c r="E42" s="23" t="s">
        <v>33</v>
      </c>
      <c r="F42" s="23" t="s">
        <v>34</v>
      </c>
      <c r="G42" s="23" t="s">
        <v>35</v>
      </c>
      <c r="H42" s="23">
        <v>2</v>
      </c>
      <c r="I42" s="23">
        <v>59.99</v>
      </c>
      <c r="J42" s="23" t="s">
        <v>22</v>
      </c>
      <c r="K42" s="23" t="s">
        <v>52</v>
      </c>
      <c r="L42" s="23" t="s">
        <v>24</v>
      </c>
      <c r="M42" s="29">
        <v>45390</v>
      </c>
      <c r="N42" s="23">
        <v>119.98</v>
      </c>
    </row>
    <row r="43" spans="1:14" x14ac:dyDescent="0.3">
      <c r="A43" s="23" t="s">
        <v>154</v>
      </c>
      <c r="B43" s="29">
        <v>45444</v>
      </c>
      <c r="C43" s="23" t="s">
        <v>57</v>
      </c>
      <c r="D43" s="23" t="s">
        <v>58</v>
      </c>
      <c r="E43" s="23" t="s">
        <v>119</v>
      </c>
      <c r="F43" s="23" t="s">
        <v>120</v>
      </c>
      <c r="G43" s="23" t="s">
        <v>21</v>
      </c>
      <c r="H43" s="23">
        <v>1</v>
      </c>
      <c r="I43" s="23">
        <v>89.99</v>
      </c>
      <c r="J43" s="23" t="s">
        <v>22</v>
      </c>
      <c r="K43" s="23" t="s">
        <v>42</v>
      </c>
      <c r="L43" s="23" t="s">
        <v>24</v>
      </c>
      <c r="M43" s="29">
        <v>45141</v>
      </c>
      <c r="N43" s="23">
        <v>89.99</v>
      </c>
    </row>
    <row r="44" spans="1:14" x14ac:dyDescent="0.3">
      <c r="A44" s="23" t="s">
        <v>155</v>
      </c>
      <c r="B44" s="29">
        <v>45446</v>
      </c>
      <c r="C44" s="23" t="s">
        <v>156</v>
      </c>
      <c r="D44" s="23" t="s">
        <v>157</v>
      </c>
      <c r="E44" s="23" t="s">
        <v>119</v>
      </c>
      <c r="F44" s="23" t="s">
        <v>120</v>
      </c>
      <c r="G44" s="23" t="s">
        <v>21</v>
      </c>
      <c r="H44" s="23">
        <v>5</v>
      </c>
      <c r="I44" s="23">
        <v>89.99</v>
      </c>
      <c r="J44" s="23" t="s">
        <v>28</v>
      </c>
      <c r="K44" s="23" t="s">
        <v>65</v>
      </c>
      <c r="L44" s="23" t="s">
        <v>38</v>
      </c>
      <c r="M44" s="29">
        <v>44587</v>
      </c>
      <c r="N44" s="23">
        <v>449.95</v>
      </c>
    </row>
    <row r="45" spans="1:14" x14ac:dyDescent="0.3">
      <c r="A45" s="23" t="s">
        <v>158</v>
      </c>
      <c r="B45" s="29">
        <v>45449</v>
      </c>
      <c r="C45" s="23" t="s">
        <v>26</v>
      </c>
      <c r="D45" s="23" t="s">
        <v>27</v>
      </c>
      <c r="E45" s="23" t="s">
        <v>19</v>
      </c>
      <c r="F45" s="23" t="s">
        <v>20</v>
      </c>
      <c r="G45" s="23" t="s">
        <v>21</v>
      </c>
      <c r="H45" s="23">
        <v>5</v>
      </c>
      <c r="I45" s="23">
        <v>249.99</v>
      </c>
      <c r="J45" s="23" t="s">
        <v>28</v>
      </c>
      <c r="K45" s="23" t="s">
        <v>65</v>
      </c>
      <c r="L45" s="23" t="s">
        <v>38</v>
      </c>
      <c r="M45" s="29">
        <v>44707</v>
      </c>
      <c r="N45" s="23">
        <v>1249.95</v>
      </c>
    </row>
    <row r="46" spans="1:14" x14ac:dyDescent="0.3">
      <c r="A46" s="23" t="s">
        <v>159</v>
      </c>
      <c r="B46" s="29">
        <v>45449</v>
      </c>
      <c r="C46" s="23" t="s">
        <v>160</v>
      </c>
      <c r="D46" s="23" t="s">
        <v>161</v>
      </c>
      <c r="E46" s="23" t="s">
        <v>119</v>
      </c>
      <c r="F46" s="23" t="s">
        <v>120</v>
      </c>
      <c r="G46" s="23" t="s">
        <v>21</v>
      </c>
      <c r="H46" s="23">
        <v>1</v>
      </c>
      <c r="I46" s="23">
        <v>89.99</v>
      </c>
      <c r="J46" s="23" t="s">
        <v>28</v>
      </c>
      <c r="K46" s="23" t="s">
        <v>37</v>
      </c>
      <c r="L46" s="23" t="s">
        <v>38</v>
      </c>
      <c r="M46" s="29">
        <v>44582</v>
      </c>
      <c r="N46" s="23">
        <v>89.99</v>
      </c>
    </row>
    <row r="47" spans="1:14" x14ac:dyDescent="0.3">
      <c r="A47" s="23" t="s">
        <v>162</v>
      </c>
      <c r="B47" s="29">
        <v>45450</v>
      </c>
      <c r="C47" s="23" t="s">
        <v>44</v>
      </c>
      <c r="D47" s="23" t="s">
        <v>45</v>
      </c>
      <c r="E47" s="23" t="s">
        <v>46</v>
      </c>
      <c r="F47" s="23" t="s">
        <v>47</v>
      </c>
      <c r="G47" s="23" t="s">
        <v>48</v>
      </c>
      <c r="H47" s="23">
        <v>2</v>
      </c>
      <c r="I47" s="23">
        <v>149.99</v>
      </c>
      <c r="J47" s="23" t="s">
        <v>22</v>
      </c>
      <c r="K47" s="23" t="s">
        <v>65</v>
      </c>
      <c r="L47" s="23" t="s">
        <v>29</v>
      </c>
      <c r="M47" s="29">
        <v>44645</v>
      </c>
      <c r="N47" s="23">
        <v>299.98</v>
      </c>
    </row>
    <row r="48" spans="1:14" x14ac:dyDescent="0.3">
      <c r="A48" s="23" t="s">
        <v>163</v>
      </c>
      <c r="B48" s="29">
        <v>45452</v>
      </c>
      <c r="C48" s="23" t="s">
        <v>164</v>
      </c>
      <c r="D48" s="23" t="s">
        <v>165</v>
      </c>
      <c r="E48" s="23" t="s">
        <v>33</v>
      </c>
      <c r="F48" s="23" t="s">
        <v>34</v>
      </c>
      <c r="G48" s="23" t="s">
        <v>35</v>
      </c>
      <c r="H48" s="23">
        <v>4</v>
      </c>
      <c r="I48" s="23">
        <v>59.99</v>
      </c>
      <c r="J48" s="23" t="s">
        <v>22</v>
      </c>
      <c r="K48" s="23" t="s">
        <v>65</v>
      </c>
      <c r="L48" s="23" t="s">
        <v>38</v>
      </c>
      <c r="M48" s="29">
        <v>44435</v>
      </c>
      <c r="N48" s="23">
        <v>239.96</v>
      </c>
    </row>
    <row r="49" spans="1:14" x14ac:dyDescent="0.3">
      <c r="A49" s="23" t="s">
        <v>166</v>
      </c>
      <c r="B49" s="29">
        <v>45456</v>
      </c>
      <c r="C49" s="23" t="s">
        <v>131</v>
      </c>
      <c r="D49" s="23" t="s">
        <v>132</v>
      </c>
      <c r="E49" s="23" t="s">
        <v>119</v>
      </c>
      <c r="F49" s="23" t="s">
        <v>120</v>
      </c>
      <c r="G49" s="23" t="s">
        <v>21</v>
      </c>
      <c r="H49" s="23">
        <v>5</v>
      </c>
      <c r="I49" s="23">
        <v>89.99</v>
      </c>
      <c r="J49" s="23" t="s">
        <v>22</v>
      </c>
      <c r="K49" s="23" t="s">
        <v>23</v>
      </c>
      <c r="L49" s="23" t="s">
        <v>29</v>
      </c>
      <c r="M49" s="29">
        <v>44579</v>
      </c>
      <c r="N49" s="23">
        <v>449.95</v>
      </c>
    </row>
    <row r="50" spans="1:14" x14ac:dyDescent="0.3">
      <c r="A50" s="23" t="s">
        <v>167</v>
      </c>
      <c r="B50" s="29">
        <v>45459</v>
      </c>
      <c r="C50" s="23" t="s">
        <v>101</v>
      </c>
      <c r="D50" s="23" t="s">
        <v>102</v>
      </c>
      <c r="E50" s="23" t="s">
        <v>119</v>
      </c>
      <c r="F50" s="23" t="s">
        <v>120</v>
      </c>
      <c r="G50" s="23" t="s">
        <v>21</v>
      </c>
      <c r="H50" s="23">
        <v>2</v>
      </c>
      <c r="I50" s="23">
        <v>89.99</v>
      </c>
      <c r="J50" s="23" t="s">
        <v>28</v>
      </c>
      <c r="K50" s="23" t="s">
        <v>37</v>
      </c>
      <c r="L50" s="23" t="s">
        <v>29</v>
      </c>
      <c r="M50" s="29">
        <v>44471</v>
      </c>
      <c r="N50" s="23">
        <v>179.98</v>
      </c>
    </row>
    <row r="51" spans="1:14" x14ac:dyDescent="0.3">
      <c r="A51" s="23" t="s">
        <v>168</v>
      </c>
      <c r="B51" s="29">
        <v>45459</v>
      </c>
      <c r="C51" s="23" t="s">
        <v>17</v>
      </c>
      <c r="D51" s="23" t="s">
        <v>18</v>
      </c>
      <c r="E51" s="23" t="s">
        <v>63</v>
      </c>
      <c r="F51" s="23" t="s">
        <v>64</v>
      </c>
      <c r="G51" s="23" t="s">
        <v>21</v>
      </c>
      <c r="H51" s="23">
        <v>5</v>
      </c>
      <c r="I51" s="23">
        <v>899.99</v>
      </c>
      <c r="J51" s="23" t="s">
        <v>28</v>
      </c>
      <c r="K51" s="23" t="s">
        <v>37</v>
      </c>
      <c r="L51" s="23" t="s">
        <v>38</v>
      </c>
      <c r="M51" s="29">
        <v>44974</v>
      </c>
      <c r="N51" s="23">
        <v>4499.95</v>
      </c>
    </row>
    <row r="52" spans="1:14" x14ac:dyDescent="0.3">
      <c r="A52" s="23" t="s">
        <v>169</v>
      </c>
      <c r="B52" s="29">
        <v>45459</v>
      </c>
      <c r="C52" s="23" t="s">
        <v>125</v>
      </c>
      <c r="D52" s="23" t="s">
        <v>126</v>
      </c>
      <c r="E52" s="23" t="s">
        <v>63</v>
      </c>
      <c r="F52" s="23" t="s">
        <v>64</v>
      </c>
      <c r="G52" s="23" t="s">
        <v>21</v>
      </c>
      <c r="H52" s="23">
        <v>5</v>
      </c>
      <c r="I52" s="23">
        <v>899.99</v>
      </c>
      <c r="J52" s="23" t="s">
        <v>36</v>
      </c>
      <c r="K52" s="23" t="s">
        <v>65</v>
      </c>
      <c r="L52" s="23" t="s">
        <v>29</v>
      </c>
      <c r="M52" s="29">
        <v>45278</v>
      </c>
      <c r="N52" s="23">
        <v>4499.95</v>
      </c>
    </row>
    <row r="53" spans="1:14" x14ac:dyDescent="0.3">
      <c r="A53" s="23" t="s">
        <v>170</v>
      </c>
      <c r="B53" s="29">
        <v>45460</v>
      </c>
      <c r="C53" s="23" t="s">
        <v>160</v>
      </c>
      <c r="D53" s="23" t="s">
        <v>161</v>
      </c>
      <c r="E53" s="23" t="s">
        <v>33</v>
      </c>
      <c r="F53" s="23" t="s">
        <v>34</v>
      </c>
      <c r="G53" s="23" t="s">
        <v>35</v>
      </c>
      <c r="H53" s="23">
        <v>1</v>
      </c>
      <c r="I53" s="23">
        <v>59.99</v>
      </c>
      <c r="J53" s="23" t="s">
        <v>59</v>
      </c>
      <c r="K53" s="23" t="s">
        <v>52</v>
      </c>
      <c r="L53" s="23" t="s">
        <v>29</v>
      </c>
      <c r="M53" s="29">
        <v>45190</v>
      </c>
      <c r="N53" s="23">
        <v>59.99</v>
      </c>
    </row>
    <row r="54" spans="1:14" x14ac:dyDescent="0.3">
      <c r="A54" s="23" t="s">
        <v>171</v>
      </c>
      <c r="B54" s="29">
        <v>45460</v>
      </c>
      <c r="C54" s="23" t="s">
        <v>143</v>
      </c>
      <c r="D54" s="23" t="s">
        <v>144</v>
      </c>
      <c r="E54" s="23" t="s">
        <v>107</v>
      </c>
      <c r="F54" s="23" t="s">
        <v>108</v>
      </c>
      <c r="G54" s="23" t="s">
        <v>48</v>
      </c>
      <c r="H54" s="23">
        <v>2</v>
      </c>
      <c r="I54" s="23">
        <v>299.99</v>
      </c>
      <c r="J54" s="23" t="s">
        <v>59</v>
      </c>
      <c r="K54" s="23" t="s">
        <v>65</v>
      </c>
      <c r="L54" s="23" t="s">
        <v>38</v>
      </c>
      <c r="M54" s="29">
        <v>45253</v>
      </c>
      <c r="N54" s="23">
        <v>599.98</v>
      </c>
    </row>
    <row r="55" spans="1:14" x14ac:dyDescent="0.3">
      <c r="A55" s="23" t="s">
        <v>172</v>
      </c>
      <c r="B55" s="29">
        <v>45468</v>
      </c>
      <c r="C55" s="23" t="s">
        <v>173</v>
      </c>
      <c r="D55" s="23" t="s">
        <v>174</v>
      </c>
      <c r="E55" s="23" t="s">
        <v>119</v>
      </c>
      <c r="F55" s="23" t="s">
        <v>120</v>
      </c>
      <c r="G55" s="23" t="s">
        <v>21</v>
      </c>
      <c r="H55" s="23">
        <v>4</v>
      </c>
      <c r="I55" s="23">
        <v>89.99</v>
      </c>
      <c r="J55" s="23" t="s">
        <v>59</v>
      </c>
      <c r="K55" s="23" t="s">
        <v>37</v>
      </c>
      <c r="L55" s="23" t="s">
        <v>24</v>
      </c>
      <c r="M55" s="29">
        <v>45281</v>
      </c>
      <c r="N55" s="23">
        <v>359.96</v>
      </c>
    </row>
    <row r="56" spans="1:14" x14ac:dyDescent="0.3">
      <c r="A56" s="23" t="s">
        <v>175</v>
      </c>
      <c r="B56" s="29">
        <v>45469</v>
      </c>
      <c r="C56" s="23" t="s">
        <v>31</v>
      </c>
      <c r="D56" s="23" t="s">
        <v>32</v>
      </c>
      <c r="E56" s="23" t="s">
        <v>116</v>
      </c>
      <c r="F56" s="23" t="s">
        <v>117</v>
      </c>
      <c r="G56" s="23" t="s">
        <v>35</v>
      </c>
      <c r="H56" s="23">
        <v>1</v>
      </c>
      <c r="I56" s="23">
        <v>79.989999999999995</v>
      </c>
      <c r="J56" s="23" t="s">
        <v>36</v>
      </c>
      <c r="K56" s="23" t="s">
        <v>23</v>
      </c>
      <c r="L56" s="23" t="s">
        <v>29</v>
      </c>
      <c r="M56" s="29">
        <v>45352</v>
      </c>
      <c r="N56" s="23">
        <v>79.989999999999995</v>
      </c>
    </row>
    <row r="57" spans="1:14" x14ac:dyDescent="0.3">
      <c r="A57" s="23" t="s">
        <v>176</v>
      </c>
      <c r="B57" s="29">
        <v>45469</v>
      </c>
      <c r="C57" s="23" t="s">
        <v>61</v>
      </c>
      <c r="D57" s="23" t="s">
        <v>62</v>
      </c>
      <c r="E57" s="23" t="s">
        <v>119</v>
      </c>
      <c r="F57" s="23" t="s">
        <v>120</v>
      </c>
      <c r="G57" s="23" t="s">
        <v>21</v>
      </c>
      <c r="H57" s="23">
        <v>2</v>
      </c>
      <c r="I57" s="23">
        <v>89.99</v>
      </c>
      <c r="J57" s="23" t="s">
        <v>22</v>
      </c>
      <c r="K57" s="23" t="s">
        <v>52</v>
      </c>
      <c r="L57" s="23" t="s">
        <v>24</v>
      </c>
      <c r="M57" s="29">
        <v>44438</v>
      </c>
      <c r="N57" s="23">
        <v>179.98</v>
      </c>
    </row>
    <row r="58" spans="1:14" x14ac:dyDescent="0.3">
      <c r="A58" s="23" t="s">
        <v>177</v>
      </c>
      <c r="B58" s="29">
        <v>45471</v>
      </c>
      <c r="C58" s="23" t="s">
        <v>40</v>
      </c>
      <c r="D58" s="23" t="s">
        <v>41</v>
      </c>
      <c r="E58" s="23" t="s">
        <v>82</v>
      </c>
      <c r="F58" s="23" t="s">
        <v>83</v>
      </c>
      <c r="G58" s="23" t="s">
        <v>21</v>
      </c>
      <c r="H58" s="23">
        <v>3</v>
      </c>
      <c r="I58" s="23">
        <v>699.99</v>
      </c>
      <c r="J58" s="23" t="s">
        <v>28</v>
      </c>
      <c r="K58" s="23" t="s">
        <v>65</v>
      </c>
      <c r="L58" s="23" t="s">
        <v>29</v>
      </c>
      <c r="M58" s="29">
        <v>45102</v>
      </c>
      <c r="N58" s="23">
        <v>2099.9699999999998</v>
      </c>
    </row>
    <row r="59" spans="1:14" x14ac:dyDescent="0.3">
      <c r="A59" s="23" t="s">
        <v>178</v>
      </c>
      <c r="B59" s="29">
        <v>45471</v>
      </c>
      <c r="C59" s="23" t="s">
        <v>101</v>
      </c>
      <c r="D59" s="23" t="s">
        <v>102</v>
      </c>
      <c r="E59" s="23" t="s">
        <v>63</v>
      </c>
      <c r="F59" s="23" t="s">
        <v>64</v>
      </c>
      <c r="G59" s="23" t="s">
        <v>21</v>
      </c>
      <c r="H59" s="23">
        <v>4</v>
      </c>
      <c r="I59" s="23">
        <v>899.99</v>
      </c>
      <c r="J59" s="23" t="s">
        <v>28</v>
      </c>
      <c r="K59" s="23" t="s">
        <v>65</v>
      </c>
      <c r="L59" s="23" t="s">
        <v>29</v>
      </c>
      <c r="M59" s="29">
        <v>44993</v>
      </c>
      <c r="N59" s="23">
        <v>3599.96</v>
      </c>
    </row>
    <row r="60" spans="1:14" x14ac:dyDescent="0.3">
      <c r="A60" s="23" t="s">
        <v>179</v>
      </c>
      <c r="B60" s="29">
        <v>45472</v>
      </c>
      <c r="C60" s="23" t="s">
        <v>122</v>
      </c>
      <c r="D60" s="23" t="s">
        <v>123</v>
      </c>
      <c r="E60" s="23" t="s">
        <v>46</v>
      </c>
      <c r="F60" s="23" t="s">
        <v>47</v>
      </c>
      <c r="G60" s="23" t="s">
        <v>48</v>
      </c>
      <c r="H60" s="23">
        <v>1</v>
      </c>
      <c r="I60" s="23">
        <v>149.99</v>
      </c>
      <c r="J60" s="23" t="s">
        <v>36</v>
      </c>
      <c r="K60" s="23" t="s">
        <v>65</v>
      </c>
      <c r="L60" s="23" t="s">
        <v>24</v>
      </c>
      <c r="M60" s="29">
        <v>44851</v>
      </c>
      <c r="N60" s="23">
        <v>149.99</v>
      </c>
    </row>
    <row r="61" spans="1:14" x14ac:dyDescent="0.3">
      <c r="A61" s="23" t="s">
        <v>180</v>
      </c>
      <c r="B61" s="29">
        <v>45474</v>
      </c>
      <c r="C61" s="23" t="s">
        <v>134</v>
      </c>
      <c r="D61" s="23" t="s">
        <v>135</v>
      </c>
      <c r="E61" s="23" t="s">
        <v>119</v>
      </c>
      <c r="F61" s="23" t="s">
        <v>120</v>
      </c>
      <c r="G61" s="23" t="s">
        <v>21</v>
      </c>
      <c r="H61" s="23">
        <v>2</v>
      </c>
      <c r="I61" s="23">
        <v>89.99</v>
      </c>
      <c r="J61" s="23" t="s">
        <v>36</v>
      </c>
      <c r="K61" s="23" t="s">
        <v>23</v>
      </c>
      <c r="L61" s="23" t="s">
        <v>29</v>
      </c>
      <c r="M61" s="29">
        <v>45275</v>
      </c>
      <c r="N61" s="23">
        <v>179.98</v>
      </c>
    </row>
    <row r="62" spans="1:14" x14ac:dyDescent="0.3">
      <c r="A62" s="23" t="s">
        <v>181</v>
      </c>
      <c r="B62" s="29">
        <v>45475</v>
      </c>
      <c r="C62" s="23" t="s">
        <v>57</v>
      </c>
      <c r="D62" s="23" t="s">
        <v>58</v>
      </c>
      <c r="E62" s="23" t="s">
        <v>119</v>
      </c>
      <c r="F62" s="23" t="s">
        <v>120</v>
      </c>
      <c r="G62" s="23" t="s">
        <v>21</v>
      </c>
      <c r="H62" s="23">
        <v>1</v>
      </c>
      <c r="I62" s="23">
        <v>89.99</v>
      </c>
      <c r="J62" s="23" t="s">
        <v>36</v>
      </c>
      <c r="K62" s="23" t="s">
        <v>52</v>
      </c>
      <c r="L62" s="23" t="s">
        <v>38</v>
      </c>
      <c r="M62" s="29">
        <v>44802</v>
      </c>
      <c r="N62" s="23">
        <v>89.99</v>
      </c>
    </row>
    <row r="63" spans="1:14" x14ac:dyDescent="0.3">
      <c r="A63" s="23" t="s">
        <v>182</v>
      </c>
      <c r="B63" s="29">
        <v>45476</v>
      </c>
      <c r="C63" s="23" t="s">
        <v>70</v>
      </c>
      <c r="D63" s="23" t="s">
        <v>71</v>
      </c>
      <c r="E63" s="23" t="s">
        <v>119</v>
      </c>
      <c r="F63" s="23" t="s">
        <v>120</v>
      </c>
      <c r="G63" s="23" t="s">
        <v>21</v>
      </c>
      <c r="H63" s="23">
        <v>1</v>
      </c>
      <c r="I63" s="23">
        <v>89.99</v>
      </c>
      <c r="J63" s="23" t="s">
        <v>22</v>
      </c>
      <c r="K63" s="23" t="s">
        <v>37</v>
      </c>
      <c r="L63" s="23" t="s">
        <v>38</v>
      </c>
      <c r="M63" s="29">
        <v>44611</v>
      </c>
      <c r="N63" s="23">
        <v>89.99</v>
      </c>
    </row>
    <row r="64" spans="1:14" x14ac:dyDescent="0.3">
      <c r="A64" s="23" t="s">
        <v>183</v>
      </c>
      <c r="B64" s="29">
        <v>45476</v>
      </c>
      <c r="C64" s="23" t="s">
        <v>184</v>
      </c>
      <c r="D64" s="23" t="s">
        <v>185</v>
      </c>
      <c r="E64" s="23" t="s">
        <v>116</v>
      </c>
      <c r="F64" s="23" t="s">
        <v>117</v>
      </c>
      <c r="G64" s="23" t="s">
        <v>35</v>
      </c>
      <c r="H64" s="23">
        <v>5</v>
      </c>
      <c r="I64" s="23">
        <v>79.989999999999995</v>
      </c>
      <c r="J64" s="23" t="s">
        <v>59</v>
      </c>
      <c r="K64" s="23" t="s">
        <v>23</v>
      </c>
      <c r="L64" s="23" t="s">
        <v>24</v>
      </c>
      <c r="M64" s="29">
        <v>44981</v>
      </c>
      <c r="N64" s="23">
        <v>399.95</v>
      </c>
    </row>
    <row r="65" spans="1:14" x14ac:dyDescent="0.3">
      <c r="A65" s="23" t="s">
        <v>186</v>
      </c>
      <c r="B65" s="29">
        <v>45481</v>
      </c>
      <c r="C65" s="23" t="s">
        <v>187</v>
      </c>
      <c r="D65" s="23" t="s">
        <v>188</v>
      </c>
      <c r="E65" s="23" t="s">
        <v>46</v>
      </c>
      <c r="F65" s="23" t="s">
        <v>47</v>
      </c>
      <c r="G65" s="23" t="s">
        <v>48</v>
      </c>
      <c r="H65" s="23">
        <v>1</v>
      </c>
      <c r="I65" s="23">
        <v>149.99</v>
      </c>
      <c r="J65" s="23" t="s">
        <v>36</v>
      </c>
      <c r="K65" s="23" t="s">
        <v>42</v>
      </c>
      <c r="L65" s="23" t="s">
        <v>24</v>
      </c>
      <c r="M65" s="29">
        <v>44421</v>
      </c>
      <c r="N65" s="23">
        <v>149.99</v>
      </c>
    </row>
    <row r="66" spans="1:14" x14ac:dyDescent="0.3">
      <c r="A66" s="23" t="s">
        <v>189</v>
      </c>
      <c r="B66" s="29">
        <v>45481</v>
      </c>
      <c r="C66" s="23" t="s">
        <v>44</v>
      </c>
      <c r="D66" s="23" t="s">
        <v>45</v>
      </c>
      <c r="E66" s="23" t="s">
        <v>82</v>
      </c>
      <c r="F66" s="23" t="s">
        <v>83</v>
      </c>
      <c r="G66" s="23" t="s">
        <v>21</v>
      </c>
      <c r="H66" s="23">
        <v>2</v>
      </c>
      <c r="I66" s="23">
        <v>699.99</v>
      </c>
      <c r="J66" s="23" t="s">
        <v>36</v>
      </c>
      <c r="K66" s="23" t="s">
        <v>65</v>
      </c>
      <c r="L66" s="23" t="s">
        <v>29</v>
      </c>
      <c r="M66" s="29">
        <v>45389</v>
      </c>
      <c r="N66" s="23">
        <v>1399.98</v>
      </c>
    </row>
    <row r="67" spans="1:14" x14ac:dyDescent="0.3">
      <c r="A67" s="23" t="s">
        <v>190</v>
      </c>
      <c r="B67" s="29">
        <v>45481</v>
      </c>
      <c r="C67" s="23" t="s">
        <v>98</v>
      </c>
      <c r="D67" s="23" t="s">
        <v>99</v>
      </c>
      <c r="E67" s="23" t="s">
        <v>119</v>
      </c>
      <c r="F67" s="23" t="s">
        <v>120</v>
      </c>
      <c r="G67" s="23" t="s">
        <v>21</v>
      </c>
      <c r="H67" s="23">
        <v>5</v>
      </c>
      <c r="I67" s="23">
        <v>89.99</v>
      </c>
      <c r="J67" s="23" t="s">
        <v>59</v>
      </c>
      <c r="K67" s="23" t="s">
        <v>42</v>
      </c>
      <c r="L67" s="23" t="s">
        <v>29</v>
      </c>
      <c r="M67" s="29">
        <v>45161</v>
      </c>
      <c r="N67" s="23">
        <v>449.95</v>
      </c>
    </row>
    <row r="68" spans="1:14" x14ac:dyDescent="0.3">
      <c r="A68" s="23" t="s">
        <v>191</v>
      </c>
      <c r="B68" s="29">
        <v>45482</v>
      </c>
      <c r="C68" s="23" t="s">
        <v>173</v>
      </c>
      <c r="D68" s="23" t="s">
        <v>174</v>
      </c>
      <c r="E68" s="23" t="s">
        <v>33</v>
      </c>
      <c r="F68" s="23" t="s">
        <v>34</v>
      </c>
      <c r="G68" s="23" t="s">
        <v>35</v>
      </c>
      <c r="H68" s="23">
        <v>4</v>
      </c>
      <c r="I68" s="23">
        <v>59.99</v>
      </c>
      <c r="J68" s="23" t="s">
        <v>22</v>
      </c>
      <c r="K68" s="23" t="s">
        <v>37</v>
      </c>
      <c r="L68" s="23" t="s">
        <v>38</v>
      </c>
      <c r="M68" s="29">
        <v>44509</v>
      </c>
      <c r="N68" s="23">
        <v>239.96</v>
      </c>
    </row>
    <row r="69" spans="1:14" x14ac:dyDescent="0.3">
      <c r="A69" s="23" t="s">
        <v>192</v>
      </c>
      <c r="B69" s="29">
        <v>45484</v>
      </c>
      <c r="C69" s="23" t="s">
        <v>26</v>
      </c>
      <c r="D69" s="23" t="s">
        <v>27</v>
      </c>
      <c r="E69" s="23" t="s">
        <v>54</v>
      </c>
      <c r="F69" s="23" t="s">
        <v>55</v>
      </c>
      <c r="G69" s="23" t="s">
        <v>21</v>
      </c>
      <c r="H69" s="23">
        <v>1</v>
      </c>
      <c r="I69" s="23">
        <v>149.99</v>
      </c>
      <c r="J69" s="23" t="s">
        <v>22</v>
      </c>
      <c r="K69" s="23" t="s">
        <v>23</v>
      </c>
      <c r="L69" s="23" t="s">
        <v>38</v>
      </c>
      <c r="M69" s="29">
        <v>44909</v>
      </c>
      <c r="N69" s="23">
        <v>149.99</v>
      </c>
    </row>
    <row r="70" spans="1:14" x14ac:dyDescent="0.3">
      <c r="A70" s="23" t="s">
        <v>193</v>
      </c>
      <c r="B70" s="29">
        <v>45484</v>
      </c>
      <c r="C70" s="23" t="s">
        <v>194</v>
      </c>
      <c r="D70" s="23" t="s">
        <v>195</v>
      </c>
      <c r="E70" s="23" t="s">
        <v>107</v>
      </c>
      <c r="F70" s="23" t="s">
        <v>108</v>
      </c>
      <c r="G70" s="23" t="s">
        <v>48</v>
      </c>
      <c r="H70" s="23">
        <v>1</v>
      </c>
      <c r="I70" s="23">
        <v>299.99</v>
      </c>
      <c r="J70" s="23" t="s">
        <v>28</v>
      </c>
      <c r="K70" s="23" t="s">
        <v>42</v>
      </c>
      <c r="L70" s="23" t="s">
        <v>29</v>
      </c>
      <c r="M70" s="29">
        <v>44891</v>
      </c>
      <c r="N70" s="23">
        <v>299.99</v>
      </c>
    </row>
    <row r="71" spans="1:14" x14ac:dyDescent="0.3">
      <c r="A71" s="23" t="s">
        <v>196</v>
      </c>
      <c r="B71" s="29">
        <v>45487</v>
      </c>
      <c r="C71" s="23" t="s">
        <v>194</v>
      </c>
      <c r="D71" s="23" t="s">
        <v>195</v>
      </c>
      <c r="E71" s="23" t="s">
        <v>128</v>
      </c>
      <c r="F71" s="23" t="s">
        <v>129</v>
      </c>
      <c r="G71" s="23" t="s">
        <v>48</v>
      </c>
      <c r="H71" s="23">
        <v>2</v>
      </c>
      <c r="I71" s="23">
        <v>199.99</v>
      </c>
      <c r="J71" s="23" t="s">
        <v>22</v>
      </c>
      <c r="K71" s="23" t="s">
        <v>42</v>
      </c>
      <c r="L71" s="23" t="s">
        <v>24</v>
      </c>
      <c r="M71" s="29">
        <v>44541</v>
      </c>
      <c r="N71" s="23">
        <v>399.98</v>
      </c>
    </row>
    <row r="72" spans="1:14" x14ac:dyDescent="0.3">
      <c r="A72" s="23" t="s">
        <v>197</v>
      </c>
      <c r="B72" s="29">
        <v>45490</v>
      </c>
      <c r="C72" s="23" t="s">
        <v>198</v>
      </c>
      <c r="D72" s="23" t="s">
        <v>199</v>
      </c>
      <c r="E72" s="23" t="s">
        <v>33</v>
      </c>
      <c r="F72" s="23" t="s">
        <v>34</v>
      </c>
      <c r="G72" s="23" t="s">
        <v>35</v>
      </c>
      <c r="H72" s="23">
        <v>3</v>
      </c>
      <c r="I72" s="23">
        <v>59.99</v>
      </c>
      <c r="J72" s="23" t="s">
        <v>28</v>
      </c>
      <c r="K72" s="23" t="s">
        <v>52</v>
      </c>
      <c r="L72" s="23" t="s">
        <v>24</v>
      </c>
      <c r="M72" s="29">
        <v>45130</v>
      </c>
      <c r="N72" s="23">
        <v>179.97</v>
      </c>
    </row>
    <row r="73" spans="1:14" x14ac:dyDescent="0.3">
      <c r="A73" s="23" t="s">
        <v>200</v>
      </c>
      <c r="B73" s="29">
        <v>45490</v>
      </c>
      <c r="C73" s="23" t="s">
        <v>74</v>
      </c>
      <c r="D73" s="23" t="s">
        <v>75</v>
      </c>
      <c r="E73" s="23" t="s">
        <v>46</v>
      </c>
      <c r="F73" s="23" t="s">
        <v>47</v>
      </c>
      <c r="G73" s="23" t="s">
        <v>48</v>
      </c>
      <c r="H73" s="23">
        <v>3</v>
      </c>
      <c r="I73" s="23">
        <v>149.99</v>
      </c>
      <c r="J73" s="23" t="s">
        <v>22</v>
      </c>
      <c r="K73" s="23" t="s">
        <v>23</v>
      </c>
      <c r="L73" s="23" t="s">
        <v>29</v>
      </c>
      <c r="M73" s="29">
        <v>45199</v>
      </c>
      <c r="N73" s="23">
        <v>449.97</v>
      </c>
    </row>
    <row r="74" spans="1:14" x14ac:dyDescent="0.3">
      <c r="A74" s="23" t="s">
        <v>201</v>
      </c>
      <c r="B74" s="29">
        <v>45491</v>
      </c>
      <c r="C74" s="23" t="s">
        <v>67</v>
      </c>
      <c r="D74" s="23" t="s">
        <v>68</v>
      </c>
      <c r="E74" s="23" t="s">
        <v>128</v>
      </c>
      <c r="F74" s="23" t="s">
        <v>129</v>
      </c>
      <c r="G74" s="23" t="s">
        <v>48</v>
      </c>
      <c r="H74" s="23">
        <v>3</v>
      </c>
      <c r="I74" s="23">
        <v>199.99</v>
      </c>
      <c r="J74" s="23" t="s">
        <v>22</v>
      </c>
      <c r="K74" s="23" t="s">
        <v>42</v>
      </c>
      <c r="L74" s="23" t="s">
        <v>29</v>
      </c>
      <c r="M74" s="29">
        <v>45254</v>
      </c>
      <c r="N74" s="23">
        <v>599.97</v>
      </c>
    </row>
    <row r="75" spans="1:14" x14ac:dyDescent="0.3">
      <c r="A75" s="23" t="s">
        <v>202</v>
      </c>
      <c r="B75" s="29">
        <v>45496</v>
      </c>
      <c r="C75" s="23" t="s">
        <v>152</v>
      </c>
      <c r="D75" s="23" t="s">
        <v>153</v>
      </c>
      <c r="E75" s="23" t="s">
        <v>63</v>
      </c>
      <c r="F75" s="23" t="s">
        <v>64</v>
      </c>
      <c r="G75" s="23" t="s">
        <v>21</v>
      </c>
      <c r="H75" s="23">
        <v>1</v>
      </c>
      <c r="I75" s="23">
        <v>899.99</v>
      </c>
      <c r="J75" s="23" t="s">
        <v>22</v>
      </c>
      <c r="K75" s="23" t="s">
        <v>23</v>
      </c>
      <c r="L75" s="23" t="s">
        <v>38</v>
      </c>
      <c r="M75" s="29">
        <v>45179</v>
      </c>
      <c r="N75" s="23">
        <v>899.99</v>
      </c>
    </row>
    <row r="76" spans="1:14" x14ac:dyDescent="0.3">
      <c r="A76" s="23" t="s">
        <v>203</v>
      </c>
      <c r="B76" s="29">
        <v>45497</v>
      </c>
      <c r="C76" s="23" t="s">
        <v>26</v>
      </c>
      <c r="D76" s="23" t="s">
        <v>27</v>
      </c>
      <c r="E76" s="23" t="s">
        <v>63</v>
      </c>
      <c r="F76" s="23" t="s">
        <v>64</v>
      </c>
      <c r="G76" s="23" t="s">
        <v>21</v>
      </c>
      <c r="H76" s="23">
        <v>5</v>
      </c>
      <c r="I76" s="23">
        <v>899.99</v>
      </c>
      <c r="J76" s="23" t="s">
        <v>59</v>
      </c>
      <c r="K76" s="23" t="s">
        <v>37</v>
      </c>
      <c r="L76" s="23" t="s">
        <v>38</v>
      </c>
      <c r="M76" s="29">
        <v>44899</v>
      </c>
      <c r="N76" s="23">
        <v>4499.95</v>
      </c>
    </row>
    <row r="77" spans="1:14" x14ac:dyDescent="0.3">
      <c r="A77" s="23" t="s">
        <v>204</v>
      </c>
      <c r="B77" s="29">
        <v>45498</v>
      </c>
      <c r="C77" s="23" t="s">
        <v>184</v>
      </c>
      <c r="D77" s="23" t="s">
        <v>185</v>
      </c>
      <c r="E77" s="23" t="s">
        <v>33</v>
      </c>
      <c r="F77" s="23" t="s">
        <v>34</v>
      </c>
      <c r="G77" s="23" t="s">
        <v>35</v>
      </c>
      <c r="H77" s="23">
        <v>2</v>
      </c>
      <c r="I77" s="23">
        <v>59.99</v>
      </c>
      <c r="J77" s="23" t="s">
        <v>22</v>
      </c>
      <c r="K77" s="23" t="s">
        <v>42</v>
      </c>
      <c r="L77" s="23" t="s">
        <v>38</v>
      </c>
      <c r="M77" s="29">
        <v>45152</v>
      </c>
      <c r="N77" s="23">
        <v>119.98</v>
      </c>
    </row>
    <row r="78" spans="1:14" x14ac:dyDescent="0.3">
      <c r="A78" s="23" t="s">
        <v>205</v>
      </c>
      <c r="B78" s="29">
        <v>45498</v>
      </c>
      <c r="C78" s="23" t="s">
        <v>198</v>
      </c>
      <c r="D78" s="23" t="s">
        <v>199</v>
      </c>
      <c r="E78" s="23" t="s">
        <v>19</v>
      </c>
      <c r="F78" s="23" t="s">
        <v>20</v>
      </c>
      <c r="G78" s="23" t="s">
        <v>21</v>
      </c>
      <c r="H78" s="23">
        <v>4</v>
      </c>
      <c r="I78" s="23">
        <v>249.99</v>
      </c>
      <c r="J78" s="23" t="s">
        <v>59</v>
      </c>
      <c r="K78" s="23" t="s">
        <v>23</v>
      </c>
      <c r="L78" s="23" t="s">
        <v>38</v>
      </c>
      <c r="M78" s="29">
        <v>45127</v>
      </c>
      <c r="N78" s="23">
        <v>999.96</v>
      </c>
    </row>
    <row r="79" spans="1:14" x14ac:dyDescent="0.3">
      <c r="A79" s="23" t="s">
        <v>206</v>
      </c>
      <c r="B79" s="29">
        <v>45500</v>
      </c>
      <c r="C79" s="23" t="s">
        <v>98</v>
      </c>
      <c r="D79" s="23" t="s">
        <v>99</v>
      </c>
      <c r="E79" s="23" t="s">
        <v>19</v>
      </c>
      <c r="F79" s="23" t="s">
        <v>20</v>
      </c>
      <c r="G79" s="23" t="s">
        <v>21</v>
      </c>
      <c r="H79" s="23">
        <v>2</v>
      </c>
      <c r="I79" s="23">
        <v>249.99</v>
      </c>
      <c r="J79" s="23" t="s">
        <v>22</v>
      </c>
      <c r="K79" s="23" t="s">
        <v>42</v>
      </c>
      <c r="L79" s="23" t="s">
        <v>29</v>
      </c>
      <c r="M79" s="29">
        <v>45164</v>
      </c>
      <c r="N79" s="23">
        <v>499.98</v>
      </c>
    </row>
    <row r="80" spans="1:14" x14ac:dyDescent="0.3">
      <c r="A80" s="23" t="s">
        <v>207</v>
      </c>
      <c r="B80" s="29">
        <v>45500</v>
      </c>
      <c r="C80" s="23" t="s">
        <v>149</v>
      </c>
      <c r="D80" s="23" t="s">
        <v>150</v>
      </c>
      <c r="E80" s="23" t="s">
        <v>107</v>
      </c>
      <c r="F80" s="23" t="s">
        <v>108</v>
      </c>
      <c r="G80" s="23" t="s">
        <v>48</v>
      </c>
      <c r="H80" s="23">
        <v>1</v>
      </c>
      <c r="I80" s="23">
        <v>299.99</v>
      </c>
      <c r="J80" s="23" t="s">
        <v>22</v>
      </c>
      <c r="K80" s="23" t="s">
        <v>37</v>
      </c>
      <c r="L80" s="23" t="s">
        <v>24</v>
      </c>
      <c r="M80" s="29">
        <v>44982</v>
      </c>
      <c r="N80" s="23">
        <v>299.99</v>
      </c>
    </row>
    <row r="81" spans="1:14" x14ac:dyDescent="0.3">
      <c r="A81" s="23" t="s">
        <v>208</v>
      </c>
      <c r="B81" s="29">
        <v>45501</v>
      </c>
      <c r="C81" s="23" t="s">
        <v>88</v>
      </c>
      <c r="D81" s="23" t="s">
        <v>89</v>
      </c>
      <c r="E81" s="23" t="s">
        <v>119</v>
      </c>
      <c r="F81" s="23" t="s">
        <v>120</v>
      </c>
      <c r="G81" s="23" t="s">
        <v>21</v>
      </c>
      <c r="H81" s="23">
        <v>2</v>
      </c>
      <c r="I81" s="23">
        <v>89.99</v>
      </c>
      <c r="J81" s="23" t="s">
        <v>36</v>
      </c>
      <c r="K81" s="23" t="s">
        <v>37</v>
      </c>
      <c r="L81" s="23" t="s">
        <v>24</v>
      </c>
      <c r="M81" s="29">
        <v>44976</v>
      </c>
      <c r="N81" s="23">
        <v>179.98</v>
      </c>
    </row>
    <row r="82" spans="1:14" x14ac:dyDescent="0.3">
      <c r="A82" s="23" t="s">
        <v>209</v>
      </c>
      <c r="B82" s="29">
        <v>45501</v>
      </c>
      <c r="C82" s="23" t="s">
        <v>149</v>
      </c>
      <c r="D82" s="23" t="s">
        <v>150</v>
      </c>
      <c r="E82" s="23" t="s">
        <v>107</v>
      </c>
      <c r="F82" s="23" t="s">
        <v>108</v>
      </c>
      <c r="G82" s="23" t="s">
        <v>48</v>
      </c>
      <c r="H82" s="23">
        <v>3</v>
      </c>
      <c r="I82" s="23">
        <v>299.99</v>
      </c>
      <c r="J82" s="23" t="s">
        <v>22</v>
      </c>
      <c r="K82" s="23" t="s">
        <v>23</v>
      </c>
      <c r="L82" s="23" t="s">
        <v>24</v>
      </c>
      <c r="M82" s="29">
        <v>44732</v>
      </c>
      <c r="N82" s="23">
        <v>899.97</v>
      </c>
    </row>
    <row r="83" spans="1:14" x14ac:dyDescent="0.3">
      <c r="A83" s="23" t="s">
        <v>210</v>
      </c>
      <c r="B83" s="29">
        <v>45503</v>
      </c>
      <c r="C83" s="23" t="s">
        <v>88</v>
      </c>
      <c r="D83" s="23" t="s">
        <v>89</v>
      </c>
      <c r="E83" s="23" t="s">
        <v>82</v>
      </c>
      <c r="F83" s="23" t="s">
        <v>83</v>
      </c>
      <c r="G83" s="23" t="s">
        <v>21</v>
      </c>
      <c r="H83" s="23">
        <v>2</v>
      </c>
      <c r="I83" s="23">
        <v>699.99</v>
      </c>
      <c r="J83" s="23" t="s">
        <v>28</v>
      </c>
      <c r="K83" s="23" t="s">
        <v>42</v>
      </c>
      <c r="L83" s="23" t="s">
        <v>29</v>
      </c>
      <c r="M83" s="29">
        <v>44999</v>
      </c>
      <c r="N83" s="23">
        <v>1399.98</v>
      </c>
    </row>
    <row r="84" spans="1:14" x14ac:dyDescent="0.3">
      <c r="A84" s="23" t="s">
        <v>211</v>
      </c>
      <c r="B84" s="29">
        <v>45504</v>
      </c>
      <c r="C84" s="23" t="s">
        <v>122</v>
      </c>
      <c r="D84" s="23" t="s">
        <v>123</v>
      </c>
      <c r="E84" s="23" t="s">
        <v>63</v>
      </c>
      <c r="F84" s="23" t="s">
        <v>64</v>
      </c>
      <c r="G84" s="23" t="s">
        <v>21</v>
      </c>
      <c r="H84" s="23">
        <v>4</v>
      </c>
      <c r="I84" s="23">
        <v>899.99</v>
      </c>
      <c r="J84" s="23" t="s">
        <v>59</v>
      </c>
      <c r="K84" s="23" t="s">
        <v>37</v>
      </c>
      <c r="L84" s="23" t="s">
        <v>38</v>
      </c>
      <c r="M84" s="29">
        <v>44523</v>
      </c>
      <c r="N84" s="23">
        <v>3599.96</v>
      </c>
    </row>
    <row r="85" spans="1:14" x14ac:dyDescent="0.3">
      <c r="A85" s="23" t="s">
        <v>212</v>
      </c>
      <c r="B85" s="29">
        <v>45509</v>
      </c>
      <c r="C85" s="23" t="s">
        <v>213</v>
      </c>
      <c r="D85" s="23" t="s">
        <v>214</v>
      </c>
      <c r="E85" s="23" t="s">
        <v>46</v>
      </c>
      <c r="F85" s="23" t="s">
        <v>47</v>
      </c>
      <c r="G85" s="23" t="s">
        <v>48</v>
      </c>
      <c r="H85" s="23">
        <v>2</v>
      </c>
      <c r="I85" s="23">
        <v>149.99</v>
      </c>
      <c r="J85" s="23" t="s">
        <v>28</v>
      </c>
      <c r="K85" s="23" t="s">
        <v>52</v>
      </c>
      <c r="L85" s="23" t="s">
        <v>24</v>
      </c>
      <c r="M85" s="29">
        <v>44542</v>
      </c>
      <c r="N85" s="23">
        <v>299.98</v>
      </c>
    </row>
    <row r="86" spans="1:14" x14ac:dyDescent="0.3">
      <c r="A86" s="23" t="s">
        <v>215</v>
      </c>
      <c r="B86" s="29">
        <v>45510</v>
      </c>
      <c r="C86" s="23" t="s">
        <v>104</v>
      </c>
      <c r="D86" s="23" t="s">
        <v>105</v>
      </c>
      <c r="E86" s="23" t="s">
        <v>46</v>
      </c>
      <c r="F86" s="23" t="s">
        <v>47</v>
      </c>
      <c r="G86" s="23" t="s">
        <v>48</v>
      </c>
      <c r="H86" s="23">
        <v>2</v>
      </c>
      <c r="I86" s="23">
        <v>149.99</v>
      </c>
      <c r="J86" s="23" t="s">
        <v>59</v>
      </c>
      <c r="K86" s="23" t="s">
        <v>65</v>
      </c>
      <c r="L86" s="23" t="s">
        <v>38</v>
      </c>
      <c r="M86" s="29">
        <v>44667</v>
      </c>
      <c r="N86" s="23">
        <v>299.98</v>
      </c>
    </row>
    <row r="87" spans="1:14" x14ac:dyDescent="0.3">
      <c r="A87" s="23" t="s">
        <v>216</v>
      </c>
      <c r="B87" s="29">
        <v>45513</v>
      </c>
      <c r="C87" s="23" t="s">
        <v>91</v>
      </c>
      <c r="D87" s="23" t="s">
        <v>92</v>
      </c>
      <c r="E87" s="23" t="s">
        <v>119</v>
      </c>
      <c r="F87" s="23" t="s">
        <v>120</v>
      </c>
      <c r="G87" s="23" t="s">
        <v>21</v>
      </c>
      <c r="H87" s="23">
        <v>1</v>
      </c>
      <c r="I87" s="23">
        <v>89.99</v>
      </c>
      <c r="J87" s="23" t="s">
        <v>28</v>
      </c>
      <c r="K87" s="23" t="s">
        <v>42</v>
      </c>
      <c r="L87" s="23" t="s">
        <v>38</v>
      </c>
      <c r="M87" s="29">
        <v>45393</v>
      </c>
      <c r="N87" s="23">
        <v>89.99</v>
      </c>
    </row>
    <row r="88" spans="1:14" x14ac:dyDescent="0.3">
      <c r="A88" s="23" t="s">
        <v>217</v>
      </c>
      <c r="B88" s="29">
        <v>45515</v>
      </c>
      <c r="C88" s="23" t="s">
        <v>88</v>
      </c>
      <c r="D88" s="23" t="s">
        <v>89</v>
      </c>
      <c r="E88" s="23" t="s">
        <v>107</v>
      </c>
      <c r="F88" s="23" t="s">
        <v>108</v>
      </c>
      <c r="G88" s="23" t="s">
        <v>48</v>
      </c>
      <c r="H88" s="23">
        <v>5</v>
      </c>
      <c r="I88" s="23">
        <v>299.99</v>
      </c>
      <c r="J88" s="23" t="s">
        <v>28</v>
      </c>
      <c r="K88" s="23" t="s">
        <v>42</v>
      </c>
      <c r="L88" s="23" t="s">
        <v>24</v>
      </c>
      <c r="M88" s="29">
        <v>44965</v>
      </c>
      <c r="N88" s="23">
        <v>1499.95</v>
      </c>
    </row>
    <row r="89" spans="1:14" x14ac:dyDescent="0.3">
      <c r="A89" s="23" t="s">
        <v>218</v>
      </c>
      <c r="B89" s="29">
        <v>45517</v>
      </c>
      <c r="C89" s="23" t="s">
        <v>184</v>
      </c>
      <c r="D89" s="23" t="s">
        <v>185</v>
      </c>
      <c r="E89" s="23" t="s">
        <v>54</v>
      </c>
      <c r="F89" s="23" t="s">
        <v>55</v>
      </c>
      <c r="G89" s="23" t="s">
        <v>21</v>
      </c>
      <c r="H89" s="23">
        <v>4</v>
      </c>
      <c r="I89" s="23">
        <v>149.99</v>
      </c>
      <c r="J89" s="23" t="s">
        <v>59</v>
      </c>
      <c r="K89" s="23" t="s">
        <v>37</v>
      </c>
      <c r="L89" s="23" t="s">
        <v>29</v>
      </c>
      <c r="M89" s="29">
        <v>44820</v>
      </c>
      <c r="N89" s="23">
        <v>599.96</v>
      </c>
    </row>
    <row r="90" spans="1:14" x14ac:dyDescent="0.3">
      <c r="A90" s="23" t="s">
        <v>219</v>
      </c>
      <c r="B90" s="29">
        <v>45517</v>
      </c>
      <c r="C90" s="23" t="s">
        <v>187</v>
      </c>
      <c r="D90" s="23" t="s">
        <v>188</v>
      </c>
      <c r="E90" s="23" t="s">
        <v>19</v>
      </c>
      <c r="F90" s="23" t="s">
        <v>20</v>
      </c>
      <c r="G90" s="23" t="s">
        <v>21</v>
      </c>
      <c r="H90" s="23">
        <v>5</v>
      </c>
      <c r="I90" s="23">
        <v>249.99</v>
      </c>
      <c r="J90" s="23" t="s">
        <v>36</v>
      </c>
      <c r="K90" s="23" t="s">
        <v>65</v>
      </c>
      <c r="L90" s="23" t="s">
        <v>29</v>
      </c>
      <c r="M90" s="29">
        <v>44782</v>
      </c>
      <c r="N90" s="23">
        <v>1249.95</v>
      </c>
    </row>
    <row r="91" spans="1:14" x14ac:dyDescent="0.3">
      <c r="A91" s="23" t="s">
        <v>220</v>
      </c>
      <c r="B91" s="29">
        <v>45517</v>
      </c>
      <c r="C91" s="23" t="s">
        <v>67</v>
      </c>
      <c r="D91" s="23" t="s">
        <v>68</v>
      </c>
      <c r="E91" s="23" t="s">
        <v>19</v>
      </c>
      <c r="F91" s="23" t="s">
        <v>20</v>
      </c>
      <c r="G91" s="23" t="s">
        <v>21</v>
      </c>
      <c r="H91" s="23">
        <v>3</v>
      </c>
      <c r="I91" s="23">
        <v>249.99</v>
      </c>
      <c r="J91" s="23" t="s">
        <v>36</v>
      </c>
      <c r="K91" s="23" t="s">
        <v>42</v>
      </c>
      <c r="L91" s="23" t="s">
        <v>29</v>
      </c>
      <c r="M91" s="29">
        <v>44465</v>
      </c>
      <c r="N91" s="23">
        <v>749.97</v>
      </c>
    </row>
    <row r="92" spans="1:14" x14ac:dyDescent="0.3">
      <c r="A92" s="23" t="s">
        <v>221</v>
      </c>
      <c r="B92" s="29">
        <v>45517</v>
      </c>
      <c r="C92" s="23" t="s">
        <v>40</v>
      </c>
      <c r="D92" s="23" t="s">
        <v>41</v>
      </c>
      <c r="E92" s="23" t="s">
        <v>128</v>
      </c>
      <c r="F92" s="23" t="s">
        <v>129</v>
      </c>
      <c r="G92" s="23" t="s">
        <v>48</v>
      </c>
      <c r="H92" s="23">
        <v>4</v>
      </c>
      <c r="I92" s="23">
        <v>199.99</v>
      </c>
      <c r="J92" s="23" t="s">
        <v>22</v>
      </c>
      <c r="K92" s="23" t="s">
        <v>42</v>
      </c>
      <c r="L92" s="23" t="s">
        <v>38</v>
      </c>
      <c r="M92" s="29">
        <v>44458</v>
      </c>
      <c r="N92" s="23">
        <v>799.96</v>
      </c>
    </row>
    <row r="93" spans="1:14" x14ac:dyDescent="0.3">
      <c r="A93" s="23" t="s">
        <v>222</v>
      </c>
      <c r="B93" s="29">
        <v>45519</v>
      </c>
      <c r="C93" s="23" t="s">
        <v>160</v>
      </c>
      <c r="D93" s="23" t="s">
        <v>161</v>
      </c>
      <c r="E93" s="23" t="s">
        <v>128</v>
      </c>
      <c r="F93" s="23" t="s">
        <v>129</v>
      </c>
      <c r="G93" s="23" t="s">
        <v>48</v>
      </c>
      <c r="H93" s="23">
        <v>5</v>
      </c>
      <c r="I93" s="23">
        <v>199.99</v>
      </c>
      <c r="J93" s="23" t="s">
        <v>22</v>
      </c>
      <c r="K93" s="23" t="s">
        <v>42</v>
      </c>
      <c r="L93" s="23" t="s">
        <v>29</v>
      </c>
      <c r="M93" s="29">
        <v>44991</v>
      </c>
      <c r="N93" s="23">
        <v>999.95</v>
      </c>
    </row>
    <row r="94" spans="1:14" x14ac:dyDescent="0.3">
      <c r="A94" s="23" t="s">
        <v>223</v>
      </c>
      <c r="B94" s="29">
        <v>45522</v>
      </c>
      <c r="C94" s="23" t="s">
        <v>88</v>
      </c>
      <c r="D94" s="23" t="s">
        <v>89</v>
      </c>
      <c r="E94" s="23" t="s">
        <v>119</v>
      </c>
      <c r="F94" s="23" t="s">
        <v>120</v>
      </c>
      <c r="G94" s="23" t="s">
        <v>21</v>
      </c>
      <c r="H94" s="23">
        <v>2</v>
      </c>
      <c r="I94" s="23">
        <v>89.99</v>
      </c>
      <c r="J94" s="23" t="s">
        <v>22</v>
      </c>
      <c r="K94" s="23" t="s">
        <v>65</v>
      </c>
      <c r="L94" s="23" t="s">
        <v>29</v>
      </c>
      <c r="M94" s="29">
        <v>44972</v>
      </c>
      <c r="N94" s="23">
        <v>179.98</v>
      </c>
    </row>
    <row r="95" spans="1:14" x14ac:dyDescent="0.3">
      <c r="A95" s="23" t="s">
        <v>224</v>
      </c>
      <c r="B95" s="29">
        <v>45523</v>
      </c>
      <c r="C95" s="23" t="s">
        <v>198</v>
      </c>
      <c r="D95" s="23" t="s">
        <v>199</v>
      </c>
      <c r="E95" s="23" t="s">
        <v>63</v>
      </c>
      <c r="F95" s="23" t="s">
        <v>64</v>
      </c>
      <c r="G95" s="23" t="s">
        <v>21</v>
      </c>
      <c r="H95" s="23">
        <v>5</v>
      </c>
      <c r="I95" s="23">
        <v>899.99</v>
      </c>
      <c r="J95" s="23" t="s">
        <v>59</v>
      </c>
      <c r="K95" s="23" t="s">
        <v>65</v>
      </c>
      <c r="L95" s="23" t="s">
        <v>24</v>
      </c>
      <c r="M95" s="29">
        <v>44526</v>
      </c>
      <c r="N95" s="23">
        <v>4499.95</v>
      </c>
    </row>
    <row r="96" spans="1:14" x14ac:dyDescent="0.3">
      <c r="A96" s="23" t="s">
        <v>225</v>
      </c>
      <c r="B96" s="29">
        <v>45523</v>
      </c>
      <c r="C96" s="23" t="s">
        <v>110</v>
      </c>
      <c r="D96" s="23" t="s">
        <v>111</v>
      </c>
      <c r="E96" s="23" t="s">
        <v>54</v>
      </c>
      <c r="F96" s="23" t="s">
        <v>55</v>
      </c>
      <c r="G96" s="23" t="s">
        <v>21</v>
      </c>
      <c r="H96" s="23">
        <v>3</v>
      </c>
      <c r="I96" s="23">
        <v>149.99</v>
      </c>
      <c r="J96" s="23" t="s">
        <v>36</v>
      </c>
      <c r="K96" s="23" t="s">
        <v>65</v>
      </c>
      <c r="L96" s="23" t="s">
        <v>24</v>
      </c>
      <c r="M96" s="29">
        <v>44574</v>
      </c>
      <c r="N96" s="23">
        <v>449.97</v>
      </c>
    </row>
    <row r="97" spans="1:14" x14ac:dyDescent="0.3">
      <c r="A97" s="23" t="s">
        <v>226</v>
      </c>
      <c r="B97" s="29">
        <v>45526</v>
      </c>
      <c r="C97" s="23" t="s">
        <v>104</v>
      </c>
      <c r="D97" s="23" t="s">
        <v>105</v>
      </c>
      <c r="E97" s="23" t="s">
        <v>46</v>
      </c>
      <c r="F97" s="23" t="s">
        <v>47</v>
      </c>
      <c r="G97" s="23" t="s">
        <v>48</v>
      </c>
      <c r="H97" s="23">
        <v>5</v>
      </c>
      <c r="I97" s="23">
        <v>149.99</v>
      </c>
      <c r="J97" s="23" t="s">
        <v>28</v>
      </c>
      <c r="K97" s="23" t="s">
        <v>23</v>
      </c>
      <c r="L97" s="23" t="s">
        <v>24</v>
      </c>
      <c r="M97" s="29">
        <v>45310</v>
      </c>
      <c r="N97" s="23">
        <v>749.95</v>
      </c>
    </row>
    <row r="98" spans="1:14" x14ac:dyDescent="0.3">
      <c r="A98" s="23" t="s">
        <v>227</v>
      </c>
      <c r="B98" s="29">
        <v>45528</v>
      </c>
      <c r="C98" s="23" t="s">
        <v>228</v>
      </c>
      <c r="D98" s="23" t="s">
        <v>229</v>
      </c>
      <c r="E98" s="23" t="s">
        <v>116</v>
      </c>
      <c r="F98" s="23" t="s">
        <v>117</v>
      </c>
      <c r="G98" s="23" t="s">
        <v>35</v>
      </c>
      <c r="H98" s="23">
        <v>3</v>
      </c>
      <c r="I98" s="23">
        <v>79.989999999999995</v>
      </c>
      <c r="J98" s="23" t="s">
        <v>22</v>
      </c>
      <c r="K98" s="23" t="s">
        <v>23</v>
      </c>
      <c r="L98" s="23" t="s">
        <v>29</v>
      </c>
      <c r="M98" s="29">
        <v>44779</v>
      </c>
      <c r="N98" s="23">
        <v>239.97</v>
      </c>
    </row>
    <row r="99" spans="1:14" x14ac:dyDescent="0.3">
      <c r="A99" s="23" t="s">
        <v>230</v>
      </c>
      <c r="B99" s="29">
        <v>45528</v>
      </c>
      <c r="C99" s="23" t="s">
        <v>146</v>
      </c>
      <c r="D99" s="23" t="s">
        <v>147</v>
      </c>
      <c r="E99" s="23" t="s">
        <v>19</v>
      </c>
      <c r="F99" s="23" t="s">
        <v>20</v>
      </c>
      <c r="G99" s="23" t="s">
        <v>21</v>
      </c>
      <c r="H99" s="23">
        <v>2</v>
      </c>
      <c r="I99" s="23">
        <v>249.99</v>
      </c>
      <c r="J99" s="23" t="s">
        <v>22</v>
      </c>
      <c r="K99" s="23" t="s">
        <v>37</v>
      </c>
      <c r="L99" s="23" t="s">
        <v>38</v>
      </c>
      <c r="M99" s="29">
        <v>44572</v>
      </c>
      <c r="N99" s="23">
        <v>499.98</v>
      </c>
    </row>
    <row r="100" spans="1:14" x14ac:dyDescent="0.3">
      <c r="A100" s="23" t="s">
        <v>231</v>
      </c>
      <c r="B100" s="29">
        <v>45532</v>
      </c>
      <c r="C100" s="23" t="s">
        <v>198</v>
      </c>
      <c r="D100" s="23" t="s">
        <v>199</v>
      </c>
      <c r="E100" s="23" t="s">
        <v>82</v>
      </c>
      <c r="F100" s="23" t="s">
        <v>83</v>
      </c>
      <c r="G100" s="23" t="s">
        <v>21</v>
      </c>
      <c r="H100" s="23">
        <v>1</v>
      </c>
      <c r="I100" s="23">
        <v>699.99</v>
      </c>
      <c r="J100" s="23" t="s">
        <v>22</v>
      </c>
      <c r="K100" s="23" t="s">
        <v>23</v>
      </c>
      <c r="L100" s="23" t="s">
        <v>29</v>
      </c>
      <c r="M100" s="29">
        <v>44497</v>
      </c>
      <c r="N100" s="23">
        <v>699.99</v>
      </c>
    </row>
    <row r="101" spans="1:14" x14ac:dyDescent="0.3">
      <c r="A101" s="23" t="s">
        <v>232</v>
      </c>
      <c r="B101" s="29">
        <v>45532</v>
      </c>
      <c r="C101" s="23" t="s">
        <v>233</v>
      </c>
      <c r="D101" s="23" t="s">
        <v>234</v>
      </c>
      <c r="E101" s="23" t="s">
        <v>54</v>
      </c>
      <c r="F101" s="23" t="s">
        <v>55</v>
      </c>
      <c r="G101" s="23" t="s">
        <v>21</v>
      </c>
      <c r="H101" s="23">
        <v>3</v>
      </c>
      <c r="I101" s="23">
        <v>149.99</v>
      </c>
      <c r="J101" s="23" t="s">
        <v>22</v>
      </c>
      <c r="K101" s="23" t="s">
        <v>52</v>
      </c>
      <c r="L101" s="23" t="s">
        <v>29</v>
      </c>
      <c r="M101" s="29">
        <v>45212</v>
      </c>
      <c r="N101" s="23">
        <v>449.97</v>
      </c>
    </row>
    <row r="102" spans="1:14" x14ac:dyDescent="0.3">
      <c r="A102" s="23" t="s">
        <v>235</v>
      </c>
      <c r="B102" s="29">
        <v>45534</v>
      </c>
      <c r="C102" s="23" t="s">
        <v>236</v>
      </c>
      <c r="D102" s="23" t="s">
        <v>237</v>
      </c>
      <c r="E102" s="23" t="s">
        <v>82</v>
      </c>
      <c r="F102" s="23" t="s">
        <v>83</v>
      </c>
      <c r="G102" s="23" t="s">
        <v>21</v>
      </c>
      <c r="H102" s="23">
        <v>2</v>
      </c>
      <c r="I102" s="23">
        <v>699.99</v>
      </c>
      <c r="J102" s="23" t="s">
        <v>28</v>
      </c>
      <c r="K102" s="23" t="s">
        <v>42</v>
      </c>
      <c r="L102" s="23" t="s">
        <v>29</v>
      </c>
      <c r="M102" s="29">
        <v>44421</v>
      </c>
      <c r="N102" s="23">
        <v>1399.98</v>
      </c>
    </row>
    <row r="103" spans="1:14" x14ac:dyDescent="0.3">
      <c r="A103" s="23" t="s">
        <v>238</v>
      </c>
      <c r="B103" s="29">
        <v>45537</v>
      </c>
      <c r="C103" s="23" t="s">
        <v>233</v>
      </c>
      <c r="D103" s="23" t="s">
        <v>234</v>
      </c>
      <c r="E103" s="23" t="s">
        <v>19</v>
      </c>
      <c r="F103" s="23" t="s">
        <v>20</v>
      </c>
      <c r="G103" s="23" t="s">
        <v>21</v>
      </c>
      <c r="H103" s="23">
        <v>1</v>
      </c>
      <c r="I103" s="23">
        <v>249.99</v>
      </c>
      <c r="J103" s="23" t="s">
        <v>28</v>
      </c>
      <c r="K103" s="23" t="s">
        <v>52</v>
      </c>
      <c r="L103" s="23" t="s">
        <v>29</v>
      </c>
      <c r="M103" s="29">
        <v>44685</v>
      </c>
      <c r="N103" s="23">
        <v>249.99</v>
      </c>
    </row>
    <row r="104" spans="1:14" x14ac:dyDescent="0.3">
      <c r="A104" s="23" t="s">
        <v>239</v>
      </c>
      <c r="B104" s="29">
        <v>45537</v>
      </c>
      <c r="C104" s="23" t="s">
        <v>17</v>
      </c>
      <c r="D104" s="23" t="s">
        <v>18</v>
      </c>
      <c r="E104" s="23" t="s">
        <v>19</v>
      </c>
      <c r="F104" s="23" t="s">
        <v>20</v>
      </c>
      <c r="G104" s="23" t="s">
        <v>21</v>
      </c>
      <c r="H104" s="23">
        <v>1</v>
      </c>
      <c r="I104" s="23">
        <v>249.99</v>
      </c>
      <c r="J104" s="23" t="s">
        <v>59</v>
      </c>
      <c r="K104" s="23" t="s">
        <v>42</v>
      </c>
      <c r="L104" s="23" t="s">
        <v>29</v>
      </c>
      <c r="M104" s="29">
        <v>45332</v>
      </c>
      <c r="N104" s="23">
        <v>249.99</v>
      </c>
    </row>
    <row r="105" spans="1:14" x14ac:dyDescent="0.3">
      <c r="A105" s="23" t="s">
        <v>240</v>
      </c>
      <c r="B105" s="29">
        <v>45538</v>
      </c>
      <c r="C105" s="23" t="s">
        <v>228</v>
      </c>
      <c r="D105" s="23" t="s">
        <v>229</v>
      </c>
      <c r="E105" s="23" t="s">
        <v>82</v>
      </c>
      <c r="F105" s="23" t="s">
        <v>83</v>
      </c>
      <c r="G105" s="23" t="s">
        <v>21</v>
      </c>
      <c r="H105" s="23">
        <v>2</v>
      </c>
      <c r="I105" s="23">
        <v>699.99</v>
      </c>
      <c r="J105" s="23" t="s">
        <v>59</v>
      </c>
      <c r="K105" s="23" t="s">
        <v>23</v>
      </c>
      <c r="L105" s="23" t="s">
        <v>29</v>
      </c>
      <c r="M105" s="29">
        <v>44870</v>
      </c>
      <c r="N105" s="23">
        <v>1399.98</v>
      </c>
    </row>
    <row r="106" spans="1:14" x14ac:dyDescent="0.3">
      <c r="A106" s="23" t="s">
        <v>241</v>
      </c>
      <c r="B106" s="29">
        <v>45541</v>
      </c>
      <c r="C106" s="23" t="s">
        <v>140</v>
      </c>
      <c r="D106" s="23" t="s">
        <v>141</v>
      </c>
      <c r="E106" s="23" t="s">
        <v>33</v>
      </c>
      <c r="F106" s="23" t="s">
        <v>34</v>
      </c>
      <c r="G106" s="23" t="s">
        <v>35</v>
      </c>
      <c r="H106" s="23">
        <v>3</v>
      </c>
      <c r="I106" s="23">
        <v>59.99</v>
      </c>
      <c r="J106" s="23" t="s">
        <v>28</v>
      </c>
      <c r="K106" s="23" t="s">
        <v>23</v>
      </c>
      <c r="L106" s="23" t="s">
        <v>29</v>
      </c>
      <c r="M106" s="29">
        <v>44717</v>
      </c>
      <c r="N106" s="23">
        <v>179.97</v>
      </c>
    </row>
    <row r="107" spans="1:14" x14ac:dyDescent="0.3">
      <c r="A107" s="23" t="s">
        <v>242</v>
      </c>
      <c r="B107" s="29">
        <v>45544</v>
      </c>
      <c r="C107" s="23" t="s">
        <v>134</v>
      </c>
      <c r="D107" s="23" t="s">
        <v>135</v>
      </c>
      <c r="E107" s="23" t="s">
        <v>33</v>
      </c>
      <c r="F107" s="23" t="s">
        <v>34</v>
      </c>
      <c r="G107" s="23" t="s">
        <v>35</v>
      </c>
      <c r="H107" s="23">
        <v>3</v>
      </c>
      <c r="I107" s="23">
        <v>59.99</v>
      </c>
      <c r="J107" s="23" t="s">
        <v>36</v>
      </c>
      <c r="K107" s="23" t="s">
        <v>65</v>
      </c>
      <c r="L107" s="23" t="s">
        <v>38</v>
      </c>
      <c r="M107" s="29">
        <v>44748</v>
      </c>
      <c r="N107" s="23">
        <v>179.97</v>
      </c>
    </row>
    <row r="108" spans="1:14" x14ac:dyDescent="0.3">
      <c r="A108" s="23" t="s">
        <v>243</v>
      </c>
      <c r="B108" s="29">
        <v>45544</v>
      </c>
      <c r="C108" s="23" t="s">
        <v>143</v>
      </c>
      <c r="D108" s="23" t="s">
        <v>144</v>
      </c>
      <c r="E108" s="23" t="s">
        <v>116</v>
      </c>
      <c r="F108" s="23" t="s">
        <v>117</v>
      </c>
      <c r="G108" s="23" t="s">
        <v>35</v>
      </c>
      <c r="H108" s="23">
        <v>4</v>
      </c>
      <c r="I108" s="23">
        <v>79.989999999999995</v>
      </c>
      <c r="J108" s="23" t="s">
        <v>22</v>
      </c>
      <c r="K108" s="23" t="s">
        <v>42</v>
      </c>
      <c r="L108" s="23" t="s">
        <v>24</v>
      </c>
      <c r="M108" s="29">
        <v>44530</v>
      </c>
      <c r="N108" s="23">
        <v>319.95999999999998</v>
      </c>
    </row>
    <row r="109" spans="1:14" x14ac:dyDescent="0.3">
      <c r="A109" s="23" t="s">
        <v>244</v>
      </c>
      <c r="B109" s="29">
        <v>45545</v>
      </c>
      <c r="C109" s="23" t="s">
        <v>57</v>
      </c>
      <c r="D109" s="23" t="s">
        <v>58</v>
      </c>
      <c r="E109" s="23" t="s">
        <v>116</v>
      </c>
      <c r="F109" s="23" t="s">
        <v>117</v>
      </c>
      <c r="G109" s="23" t="s">
        <v>35</v>
      </c>
      <c r="H109" s="23">
        <v>1</v>
      </c>
      <c r="I109" s="23">
        <v>79.989999999999995</v>
      </c>
      <c r="J109" s="23" t="s">
        <v>22</v>
      </c>
      <c r="K109" s="23" t="s">
        <v>52</v>
      </c>
      <c r="L109" s="23" t="s">
        <v>24</v>
      </c>
      <c r="M109" s="29">
        <v>44693</v>
      </c>
      <c r="N109" s="23">
        <v>79.989999999999995</v>
      </c>
    </row>
    <row r="110" spans="1:14" x14ac:dyDescent="0.3">
      <c r="A110" s="23" t="s">
        <v>245</v>
      </c>
      <c r="B110" s="29">
        <v>45547</v>
      </c>
      <c r="C110" s="23" t="s">
        <v>50</v>
      </c>
      <c r="D110" s="23" t="s">
        <v>51</v>
      </c>
      <c r="E110" s="23" t="s">
        <v>107</v>
      </c>
      <c r="F110" s="23" t="s">
        <v>108</v>
      </c>
      <c r="G110" s="23" t="s">
        <v>48</v>
      </c>
      <c r="H110" s="23">
        <v>3</v>
      </c>
      <c r="I110" s="23">
        <v>299.99</v>
      </c>
      <c r="J110" s="23" t="s">
        <v>28</v>
      </c>
      <c r="K110" s="23" t="s">
        <v>23</v>
      </c>
      <c r="L110" s="23" t="s">
        <v>29</v>
      </c>
      <c r="M110" s="29">
        <v>44494</v>
      </c>
      <c r="N110" s="23">
        <v>899.97</v>
      </c>
    </row>
    <row r="111" spans="1:14" x14ac:dyDescent="0.3">
      <c r="A111" s="23" t="s">
        <v>246</v>
      </c>
      <c r="B111" s="29">
        <v>45548</v>
      </c>
      <c r="C111" s="23" t="s">
        <v>40</v>
      </c>
      <c r="D111" s="23" t="s">
        <v>41</v>
      </c>
      <c r="E111" s="23" t="s">
        <v>119</v>
      </c>
      <c r="F111" s="23" t="s">
        <v>120</v>
      </c>
      <c r="G111" s="23" t="s">
        <v>21</v>
      </c>
      <c r="H111" s="23">
        <v>2</v>
      </c>
      <c r="I111" s="23">
        <v>89.99</v>
      </c>
      <c r="J111" s="23" t="s">
        <v>28</v>
      </c>
      <c r="K111" s="23" t="s">
        <v>37</v>
      </c>
      <c r="L111" s="23" t="s">
        <v>29</v>
      </c>
      <c r="M111" s="29">
        <v>44641</v>
      </c>
      <c r="N111" s="23">
        <v>179.98</v>
      </c>
    </row>
    <row r="112" spans="1:14" x14ac:dyDescent="0.3">
      <c r="A112" s="23" t="s">
        <v>247</v>
      </c>
      <c r="B112" s="29">
        <v>45550</v>
      </c>
      <c r="C112" s="23" t="s">
        <v>248</v>
      </c>
      <c r="D112" s="23" t="s">
        <v>249</v>
      </c>
      <c r="E112" s="23" t="s">
        <v>54</v>
      </c>
      <c r="F112" s="23" t="s">
        <v>55</v>
      </c>
      <c r="G112" s="23" t="s">
        <v>21</v>
      </c>
      <c r="H112" s="23">
        <v>4</v>
      </c>
      <c r="I112" s="23">
        <v>149.99</v>
      </c>
      <c r="J112" s="23" t="s">
        <v>22</v>
      </c>
      <c r="K112" s="23" t="s">
        <v>42</v>
      </c>
      <c r="L112" s="23" t="s">
        <v>24</v>
      </c>
      <c r="M112" s="29">
        <v>44909</v>
      </c>
      <c r="N112" s="23">
        <v>599.96</v>
      </c>
    </row>
    <row r="113" spans="1:14" x14ac:dyDescent="0.3">
      <c r="A113" s="23" t="s">
        <v>250</v>
      </c>
      <c r="B113" s="29">
        <v>45551</v>
      </c>
      <c r="C113" s="23" t="s">
        <v>67</v>
      </c>
      <c r="D113" s="23" t="s">
        <v>68</v>
      </c>
      <c r="E113" s="23" t="s">
        <v>19</v>
      </c>
      <c r="F113" s="23" t="s">
        <v>20</v>
      </c>
      <c r="G113" s="23" t="s">
        <v>21</v>
      </c>
      <c r="H113" s="23">
        <v>2</v>
      </c>
      <c r="I113" s="23">
        <v>249.99</v>
      </c>
      <c r="J113" s="23" t="s">
        <v>36</v>
      </c>
      <c r="K113" s="23" t="s">
        <v>37</v>
      </c>
      <c r="L113" s="23" t="s">
        <v>24</v>
      </c>
      <c r="M113" s="29">
        <v>44993</v>
      </c>
      <c r="N113" s="23">
        <v>499.98</v>
      </c>
    </row>
    <row r="114" spans="1:14" x14ac:dyDescent="0.3">
      <c r="A114" s="23" t="s">
        <v>251</v>
      </c>
      <c r="B114" s="29">
        <v>45551</v>
      </c>
      <c r="C114" s="23" t="s">
        <v>156</v>
      </c>
      <c r="D114" s="23" t="s">
        <v>157</v>
      </c>
      <c r="E114" s="23" t="s">
        <v>128</v>
      </c>
      <c r="F114" s="23" t="s">
        <v>129</v>
      </c>
      <c r="G114" s="23" t="s">
        <v>48</v>
      </c>
      <c r="H114" s="23">
        <v>4</v>
      </c>
      <c r="I114" s="23">
        <v>199.99</v>
      </c>
      <c r="J114" s="23" t="s">
        <v>59</v>
      </c>
      <c r="K114" s="23" t="s">
        <v>65</v>
      </c>
      <c r="L114" s="23" t="s">
        <v>24</v>
      </c>
      <c r="M114" s="29">
        <v>44458</v>
      </c>
      <c r="N114" s="23">
        <v>799.96</v>
      </c>
    </row>
    <row r="115" spans="1:14" x14ac:dyDescent="0.3">
      <c r="A115" s="23" t="s">
        <v>252</v>
      </c>
      <c r="B115" s="29">
        <v>45554</v>
      </c>
      <c r="C115" s="23" t="s">
        <v>149</v>
      </c>
      <c r="D115" s="23" t="s">
        <v>150</v>
      </c>
      <c r="E115" s="23" t="s">
        <v>119</v>
      </c>
      <c r="F115" s="23" t="s">
        <v>120</v>
      </c>
      <c r="G115" s="23" t="s">
        <v>21</v>
      </c>
      <c r="H115" s="23">
        <v>5</v>
      </c>
      <c r="I115" s="23">
        <v>89.99</v>
      </c>
      <c r="J115" s="23" t="s">
        <v>28</v>
      </c>
      <c r="K115" s="23" t="s">
        <v>65</v>
      </c>
      <c r="L115" s="23" t="s">
        <v>29</v>
      </c>
      <c r="M115" s="29">
        <v>44446</v>
      </c>
      <c r="N115" s="23">
        <v>449.95</v>
      </c>
    </row>
    <row r="116" spans="1:14" x14ac:dyDescent="0.3">
      <c r="A116" s="23" t="s">
        <v>253</v>
      </c>
      <c r="B116" s="29">
        <v>45554</v>
      </c>
      <c r="C116" s="23" t="s">
        <v>254</v>
      </c>
      <c r="D116" s="23" t="s">
        <v>255</v>
      </c>
      <c r="E116" s="23" t="s">
        <v>54</v>
      </c>
      <c r="F116" s="23" t="s">
        <v>55</v>
      </c>
      <c r="G116" s="23" t="s">
        <v>21</v>
      </c>
      <c r="H116" s="23">
        <v>1</v>
      </c>
      <c r="I116" s="23">
        <v>149.99</v>
      </c>
      <c r="J116" s="23" t="s">
        <v>36</v>
      </c>
      <c r="K116" s="23" t="s">
        <v>65</v>
      </c>
      <c r="L116" s="23" t="s">
        <v>38</v>
      </c>
      <c r="M116" s="29">
        <v>44482</v>
      </c>
      <c r="N116" s="23">
        <v>149.99</v>
      </c>
    </row>
    <row r="117" spans="1:14" x14ac:dyDescent="0.3">
      <c r="A117" s="23" t="s">
        <v>256</v>
      </c>
      <c r="B117" s="29">
        <v>45554</v>
      </c>
      <c r="C117" s="23" t="s">
        <v>74</v>
      </c>
      <c r="D117" s="23" t="s">
        <v>75</v>
      </c>
      <c r="E117" s="23" t="s">
        <v>82</v>
      </c>
      <c r="F117" s="23" t="s">
        <v>83</v>
      </c>
      <c r="G117" s="23" t="s">
        <v>21</v>
      </c>
      <c r="H117" s="23">
        <v>4</v>
      </c>
      <c r="I117" s="23">
        <v>699.99</v>
      </c>
      <c r="J117" s="23" t="s">
        <v>36</v>
      </c>
      <c r="K117" s="23" t="s">
        <v>37</v>
      </c>
      <c r="L117" s="23" t="s">
        <v>24</v>
      </c>
      <c r="M117" s="29">
        <v>44618</v>
      </c>
      <c r="N117" s="23">
        <v>2799.96</v>
      </c>
    </row>
    <row r="118" spans="1:14" x14ac:dyDescent="0.3">
      <c r="A118" s="23" t="s">
        <v>257</v>
      </c>
      <c r="B118" s="29">
        <v>45559</v>
      </c>
      <c r="C118" s="23" t="s">
        <v>236</v>
      </c>
      <c r="D118" s="23" t="s">
        <v>237</v>
      </c>
      <c r="E118" s="23" t="s">
        <v>63</v>
      </c>
      <c r="F118" s="23" t="s">
        <v>64</v>
      </c>
      <c r="G118" s="23" t="s">
        <v>21</v>
      </c>
      <c r="H118" s="23">
        <v>3</v>
      </c>
      <c r="I118" s="23">
        <v>899.99</v>
      </c>
      <c r="J118" s="23" t="s">
        <v>28</v>
      </c>
      <c r="K118" s="23" t="s">
        <v>42</v>
      </c>
      <c r="L118" s="23" t="s">
        <v>38</v>
      </c>
      <c r="M118" s="29">
        <v>45157</v>
      </c>
      <c r="N118" s="23">
        <v>2699.97</v>
      </c>
    </row>
    <row r="119" spans="1:14" x14ac:dyDescent="0.3">
      <c r="A119" s="23" t="s">
        <v>258</v>
      </c>
      <c r="B119" s="29">
        <v>45560</v>
      </c>
      <c r="C119" s="23" t="s">
        <v>114</v>
      </c>
      <c r="D119" s="23" t="s">
        <v>115</v>
      </c>
      <c r="E119" s="23" t="s">
        <v>46</v>
      </c>
      <c r="F119" s="23" t="s">
        <v>47</v>
      </c>
      <c r="G119" s="23" t="s">
        <v>48</v>
      </c>
      <c r="H119" s="23">
        <v>3</v>
      </c>
      <c r="I119" s="23">
        <v>149.99</v>
      </c>
      <c r="J119" s="23" t="s">
        <v>36</v>
      </c>
      <c r="K119" s="23" t="s">
        <v>65</v>
      </c>
      <c r="L119" s="23" t="s">
        <v>24</v>
      </c>
      <c r="M119" s="29">
        <v>44886</v>
      </c>
      <c r="N119" s="23">
        <v>449.97</v>
      </c>
    </row>
    <row r="120" spans="1:14" x14ac:dyDescent="0.3">
      <c r="A120" s="23" t="s">
        <v>259</v>
      </c>
      <c r="B120" s="29">
        <v>45563</v>
      </c>
      <c r="C120" s="23" t="s">
        <v>101</v>
      </c>
      <c r="D120" s="23" t="s">
        <v>102</v>
      </c>
      <c r="E120" s="23" t="s">
        <v>107</v>
      </c>
      <c r="F120" s="23" t="s">
        <v>108</v>
      </c>
      <c r="G120" s="23" t="s">
        <v>48</v>
      </c>
      <c r="H120" s="23">
        <v>2</v>
      </c>
      <c r="I120" s="23">
        <v>299.99</v>
      </c>
      <c r="J120" s="23" t="s">
        <v>59</v>
      </c>
      <c r="K120" s="23" t="s">
        <v>23</v>
      </c>
      <c r="L120" s="23" t="s">
        <v>24</v>
      </c>
      <c r="M120" s="29">
        <v>44569</v>
      </c>
      <c r="N120" s="23">
        <v>599.98</v>
      </c>
    </row>
    <row r="121" spans="1:14" x14ac:dyDescent="0.3">
      <c r="A121" s="23" t="s">
        <v>260</v>
      </c>
      <c r="B121" s="29">
        <v>45564</v>
      </c>
      <c r="C121" s="23" t="s">
        <v>261</v>
      </c>
      <c r="D121" s="23" t="s">
        <v>262</v>
      </c>
      <c r="E121" s="23" t="s">
        <v>128</v>
      </c>
      <c r="F121" s="23" t="s">
        <v>129</v>
      </c>
      <c r="G121" s="23" t="s">
        <v>48</v>
      </c>
      <c r="H121" s="23">
        <v>1</v>
      </c>
      <c r="I121" s="23">
        <v>199.99</v>
      </c>
      <c r="J121" s="23" t="s">
        <v>59</v>
      </c>
      <c r="K121" s="23" t="s">
        <v>65</v>
      </c>
      <c r="L121" s="23" t="s">
        <v>38</v>
      </c>
      <c r="M121" s="29">
        <v>44953</v>
      </c>
      <c r="N121" s="23">
        <v>199.99</v>
      </c>
    </row>
    <row r="122" spans="1:14" x14ac:dyDescent="0.3">
      <c r="A122" s="23" t="s">
        <v>263</v>
      </c>
      <c r="B122" s="29">
        <v>45566</v>
      </c>
      <c r="C122" s="23" t="s">
        <v>44</v>
      </c>
      <c r="D122" s="23" t="s">
        <v>45</v>
      </c>
      <c r="E122" s="23" t="s">
        <v>107</v>
      </c>
      <c r="F122" s="23" t="s">
        <v>108</v>
      </c>
      <c r="G122" s="23" t="s">
        <v>48</v>
      </c>
      <c r="H122" s="23">
        <v>4</v>
      </c>
      <c r="I122" s="23">
        <v>299.99</v>
      </c>
      <c r="J122" s="23" t="s">
        <v>22</v>
      </c>
      <c r="K122" s="23" t="s">
        <v>23</v>
      </c>
      <c r="L122" s="23" t="s">
        <v>29</v>
      </c>
      <c r="M122" s="29">
        <v>44460</v>
      </c>
      <c r="N122" s="23">
        <v>1199.96</v>
      </c>
    </row>
    <row r="123" spans="1:14" x14ac:dyDescent="0.3">
      <c r="A123" s="23" t="s">
        <v>264</v>
      </c>
      <c r="B123" s="29">
        <v>45572</v>
      </c>
      <c r="C123" s="23" t="s">
        <v>91</v>
      </c>
      <c r="D123" s="23" t="s">
        <v>92</v>
      </c>
      <c r="E123" s="23" t="s">
        <v>33</v>
      </c>
      <c r="F123" s="23" t="s">
        <v>34</v>
      </c>
      <c r="G123" s="23" t="s">
        <v>35</v>
      </c>
      <c r="H123" s="23">
        <v>2</v>
      </c>
      <c r="I123" s="23">
        <v>59.99</v>
      </c>
      <c r="J123" s="23" t="s">
        <v>28</v>
      </c>
      <c r="K123" s="23" t="s">
        <v>23</v>
      </c>
      <c r="L123" s="23" t="s">
        <v>24</v>
      </c>
      <c r="M123" s="29">
        <v>44579</v>
      </c>
      <c r="N123" s="23">
        <v>119.98</v>
      </c>
    </row>
    <row r="124" spans="1:14" x14ac:dyDescent="0.3">
      <c r="A124" s="23" t="s">
        <v>265</v>
      </c>
      <c r="B124" s="29">
        <v>45572</v>
      </c>
      <c r="C124" s="23" t="s">
        <v>236</v>
      </c>
      <c r="D124" s="23" t="s">
        <v>237</v>
      </c>
      <c r="E124" s="23" t="s">
        <v>54</v>
      </c>
      <c r="F124" s="23" t="s">
        <v>55</v>
      </c>
      <c r="G124" s="23" t="s">
        <v>21</v>
      </c>
      <c r="H124" s="23">
        <v>4</v>
      </c>
      <c r="I124" s="23">
        <v>149.99</v>
      </c>
      <c r="J124" s="23" t="s">
        <v>28</v>
      </c>
      <c r="K124" s="23" t="s">
        <v>42</v>
      </c>
      <c r="L124" s="23" t="s">
        <v>29</v>
      </c>
      <c r="M124" s="29">
        <v>45076</v>
      </c>
      <c r="N124" s="23">
        <v>599.96</v>
      </c>
    </row>
    <row r="125" spans="1:14" x14ac:dyDescent="0.3">
      <c r="A125" s="23" t="s">
        <v>266</v>
      </c>
      <c r="B125" s="29">
        <v>45573</v>
      </c>
      <c r="C125" s="23" t="s">
        <v>213</v>
      </c>
      <c r="D125" s="23" t="s">
        <v>214</v>
      </c>
      <c r="E125" s="23" t="s">
        <v>82</v>
      </c>
      <c r="F125" s="23" t="s">
        <v>83</v>
      </c>
      <c r="G125" s="23" t="s">
        <v>21</v>
      </c>
      <c r="H125" s="23">
        <v>2</v>
      </c>
      <c r="I125" s="23">
        <v>699.99</v>
      </c>
      <c r="J125" s="23" t="s">
        <v>59</v>
      </c>
      <c r="K125" s="23" t="s">
        <v>65</v>
      </c>
      <c r="L125" s="23" t="s">
        <v>29</v>
      </c>
      <c r="M125" s="29">
        <v>45274</v>
      </c>
      <c r="N125" s="23">
        <v>1399.98</v>
      </c>
    </row>
    <row r="126" spans="1:14" x14ac:dyDescent="0.3">
      <c r="A126" s="23" t="s">
        <v>267</v>
      </c>
      <c r="B126" s="29">
        <v>45573</v>
      </c>
      <c r="C126" s="23" t="s">
        <v>233</v>
      </c>
      <c r="D126" s="23" t="s">
        <v>234</v>
      </c>
      <c r="E126" s="23" t="s">
        <v>46</v>
      </c>
      <c r="F126" s="23" t="s">
        <v>47</v>
      </c>
      <c r="G126" s="23" t="s">
        <v>48</v>
      </c>
      <c r="H126" s="23">
        <v>3</v>
      </c>
      <c r="I126" s="23">
        <v>149.99</v>
      </c>
      <c r="J126" s="23" t="s">
        <v>28</v>
      </c>
      <c r="K126" s="23" t="s">
        <v>37</v>
      </c>
      <c r="L126" s="23" t="s">
        <v>38</v>
      </c>
      <c r="M126" s="29">
        <v>44940</v>
      </c>
      <c r="N126" s="23">
        <v>449.97</v>
      </c>
    </row>
    <row r="127" spans="1:14" x14ac:dyDescent="0.3">
      <c r="A127" s="23" t="s">
        <v>268</v>
      </c>
      <c r="B127" s="29">
        <v>45576</v>
      </c>
      <c r="C127" s="23" t="s">
        <v>149</v>
      </c>
      <c r="D127" s="23" t="s">
        <v>150</v>
      </c>
      <c r="E127" s="23" t="s">
        <v>107</v>
      </c>
      <c r="F127" s="23" t="s">
        <v>108</v>
      </c>
      <c r="G127" s="23" t="s">
        <v>48</v>
      </c>
      <c r="H127" s="23">
        <v>3</v>
      </c>
      <c r="I127" s="23">
        <v>299.99</v>
      </c>
      <c r="J127" s="23" t="s">
        <v>28</v>
      </c>
      <c r="K127" s="23" t="s">
        <v>23</v>
      </c>
      <c r="L127" s="23" t="s">
        <v>38</v>
      </c>
      <c r="M127" s="29">
        <v>45174</v>
      </c>
      <c r="N127" s="23">
        <v>899.97</v>
      </c>
    </row>
    <row r="128" spans="1:14" x14ac:dyDescent="0.3">
      <c r="A128" s="23" t="s">
        <v>269</v>
      </c>
      <c r="B128" s="29">
        <v>45579</v>
      </c>
      <c r="C128" s="23" t="s">
        <v>85</v>
      </c>
      <c r="D128" s="23" t="s">
        <v>86</v>
      </c>
      <c r="E128" s="23" t="s">
        <v>63</v>
      </c>
      <c r="F128" s="23" t="s">
        <v>64</v>
      </c>
      <c r="G128" s="23" t="s">
        <v>21</v>
      </c>
      <c r="H128" s="23">
        <v>3</v>
      </c>
      <c r="I128" s="23">
        <v>899.99</v>
      </c>
      <c r="J128" s="23" t="s">
        <v>36</v>
      </c>
      <c r="K128" s="23" t="s">
        <v>52</v>
      </c>
      <c r="L128" s="23" t="s">
        <v>24</v>
      </c>
      <c r="M128" s="29">
        <v>45215</v>
      </c>
      <c r="N128" s="23">
        <v>2699.97</v>
      </c>
    </row>
    <row r="129" spans="1:14" x14ac:dyDescent="0.3">
      <c r="A129" s="23" t="s">
        <v>270</v>
      </c>
      <c r="B129" s="29">
        <v>45581</v>
      </c>
      <c r="C129" s="23" t="s">
        <v>98</v>
      </c>
      <c r="D129" s="23" t="s">
        <v>99</v>
      </c>
      <c r="E129" s="23" t="s">
        <v>82</v>
      </c>
      <c r="F129" s="23" t="s">
        <v>83</v>
      </c>
      <c r="G129" s="23" t="s">
        <v>21</v>
      </c>
      <c r="H129" s="23">
        <v>5</v>
      </c>
      <c r="I129" s="23">
        <v>699.99</v>
      </c>
      <c r="J129" s="23" t="s">
        <v>22</v>
      </c>
      <c r="K129" s="23" t="s">
        <v>65</v>
      </c>
      <c r="L129" s="23" t="s">
        <v>38</v>
      </c>
      <c r="M129" s="29">
        <v>45008</v>
      </c>
      <c r="N129" s="23">
        <v>3499.95</v>
      </c>
    </row>
    <row r="130" spans="1:14" x14ac:dyDescent="0.3">
      <c r="A130" s="23" t="s">
        <v>271</v>
      </c>
      <c r="B130" s="29">
        <v>45581</v>
      </c>
      <c r="C130" s="23" t="s">
        <v>173</v>
      </c>
      <c r="D130" s="23" t="s">
        <v>174</v>
      </c>
      <c r="E130" s="23" t="s">
        <v>82</v>
      </c>
      <c r="F130" s="23" t="s">
        <v>83</v>
      </c>
      <c r="G130" s="23" t="s">
        <v>21</v>
      </c>
      <c r="H130" s="23">
        <v>4</v>
      </c>
      <c r="I130" s="23">
        <v>699.99</v>
      </c>
      <c r="J130" s="23" t="s">
        <v>28</v>
      </c>
      <c r="K130" s="23" t="s">
        <v>23</v>
      </c>
      <c r="L130" s="23" t="s">
        <v>24</v>
      </c>
      <c r="M130" s="29">
        <v>45385</v>
      </c>
      <c r="N130" s="23">
        <v>2799.96</v>
      </c>
    </row>
    <row r="131" spans="1:14" x14ac:dyDescent="0.3">
      <c r="A131" s="23" t="s">
        <v>272</v>
      </c>
      <c r="B131" s="29">
        <v>45581</v>
      </c>
      <c r="C131" s="23" t="s">
        <v>152</v>
      </c>
      <c r="D131" s="23" t="s">
        <v>153</v>
      </c>
      <c r="E131" s="23" t="s">
        <v>63</v>
      </c>
      <c r="F131" s="23" t="s">
        <v>64</v>
      </c>
      <c r="G131" s="23" t="s">
        <v>21</v>
      </c>
      <c r="H131" s="23">
        <v>1</v>
      </c>
      <c r="I131" s="23">
        <v>899.99</v>
      </c>
      <c r="J131" s="23" t="s">
        <v>28</v>
      </c>
      <c r="K131" s="23" t="s">
        <v>65</v>
      </c>
      <c r="L131" s="23" t="s">
        <v>38</v>
      </c>
      <c r="M131" s="29">
        <v>45369</v>
      </c>
      <c r="N131" s="23">
        <v>899.99</v>
      </c>
    </row>
    <row r="132" spans="1:14" x14ac:dyDescent="0.3">
      <c r="A132" s="23" t="s">
        <v>273</v>
      </c>
      <c r="B132" s="29">
        <v>45583</v>
      </c>
      <c r="C132" s="23" t="s">
        <v>228</v>
      </c>
      <c r="D132" s="23" t="s">
        <v>229</v>
      </c>
      <c r="E132" s="23" t="s">
        <v>54</v>
      </c>
      <c r="F132" s="23" t="s">
        <v>55</v>
      </c>
      <c r="G132" s="23" t="s">
        <v>21</v>
      </c>
      <c r="H132" s="23">
        <v>2</v>
      </c>
      <c r="I132" s="23">
        <v>149.99</v>
      </c>
      <c r="J132" s="23" t="s">
        <v>28</v>
      </c>
      <c r="K132" s="23" t="s">
        <v>52</v>
      </c>
      <c r="L132" s="23" t="s">
        <v>24</v>
      </c>
      <c r="M132" s="29">
        <v>44916</v>
      </c>
      <c r="N132" s="23">
        <v>299.98</v>
      </c>
    </row>
    <row r="133" spans="1:14" x14ac:dyDescent="0.3">
      <c r="A133" s="23" t="s">
        <v>274</v>
      </c>
      <c r="B133" s="29">
        <v>45586</v>
      </c>
      <c r="C133" s="23" t="s">
        <v>228</v>
      </c>
      <c r="D133" s="23" t="s">
        <v>229</v>
      </c>
      <c r="E133" s="23" t="s">
        <v>119</v>
      </c>
      <c r="F133" s="23" t="s">
        <v>120</v>
      </c>
      <c r="G133" s="23" t="s">
        <v>21</v>
      </c>
      <c r="H133" s="23">
        <v>3</v>
      </c>
      <c r="I133" s="23">
        <v>89.99</v>
      </c>
      <c r="J133" s="23" t="s">
        <v>36</v>
      </c>
      <c r="K133" s="23" t="s">
        <v>23</v>
      </c>
      <c r="L133" s="23" t="s">
        <v>24</v>
      </c>
      <c r="M133" s="29">
        <v>44551</v>
      </c>
      <c r="N133" s="23">
        <v>269.97000000000003</v>
      </c>
    </row>
    <row r="134" spans="1:14" x14ac:dyDescent="0.3">
      <c r="A134" s="23" t="s">
        <v>275</v>
      </c>
      <c r="B134" s="29">
        <v>45588</v>
      </c>
      <c r="C134" s="23" t="s">
        <v>40</v>
      </c>
      <c r="D134" s="23" t="s">
        <v>41</v>
      </c>
      <c r="E134" s="23" t="s">
        <v>54</v>
      </c>
      <c r="F134" s="23" t="s">
        <v>55</v>
      </c>
      <c r="G134" s="23" t="s">
        <v>21</v>
      </c>
      <c r="H134" s="23">
        <v>2</v>
      </c>
      <c r="I134" s="23">
        <v>149.99</v>
      </c>
      <c r="J134" s="23" t="s">
        <v>36</v>
      </c>
      <c r="K134" s="23" t="s">
        <v>23</v>
      </c>
      <c r="L134" s="23" t="s">
        <v>24</v>
      </c>
      <c r="M134" s="29">
        <v>44473</v>
      </c>
      <c r="N134" s="23">
        <v>299.98</v>
      </c>
    </row>
    <row r="135" spans="1:14" x14ac:dyDescent="0.3">
      <c r="A135" s="23" t="s">
        <v>276</v>
      </c>
      <c r="B135" s="29">
        <v>45588</v>
      </c>
      <c r="C135" s="23" t="s">
        <v>156</v>
      </c>
      <c r="D135" s="23" t="s">
        <v>157</v>
      </c>
      <c r="E135" s="23" t="s">
        <v>82</v>
      </c>
      <c r="F135" s="23" t="s">
        <v>83</v>
      </c>
      <c r="G135" s="23" t="s">
        <v>21</v>
      </c>
      <c r="H135" s="23">
        <v>2</v>
      </c>
      <c r="I135" s="23">
        <v>699.99</v>
      </c>
      <c r="J135" s="23" t="s">
        <v>22</v>
      </c>
      <c r="K135" s="23" t="s">
        <v>23</v>
      </c>
      <c r="L135" s="23" t="s">
        <v>24</v>
      </c>
      <c r="M135" s="29">
        <v>44992</v>
      </c>
      <c r="N135" s="23">
        <v>1399.98</v>
      </c>
    </row>
    <row r="136" spans="1:14" x14ac:dyDescent="0.3">
      <c r="A136" s="23" t="s">
        <v>277</v>
      </c>
      <c r="B136" s="29">
        <v>45589</v>
      </c>
      <c r="C136" s="23" t="s">
        <v>160</v>
      </c>
      <c r="D136" s="23" t="s">
        <v>161</v>
      </c>
      <c r="E136" s="23" t="s">
        <v>82</v>
      </c>
      <c r="F136" s="23" t="s">
        <v>83</v>
      </c>
      <c r="G136" s="23" t="s">
        <v>21</v>
      </c>
      <c r="H136" s="23">
        <v>5</v>
      </c>
      <c r="I136" s="23">
        <v>699.99</v>
      </c>
      <c r="J136" s="23" t="s">
        <v>22</v>
      </c>
      <c r="K136" s="23" t="s">
        <v>42</v>
      </c>
      <c r="L136" s="23" t="s">
        <v>29</v>
      </c>
      <c r="M136" s="29">
        <v>44635</v>
      </c>
      <c r="N136" s="23">
        <v>3499.95</v>
      </c>
    </row>
    <row r="137" spans="1:14" x14ac:dyDescent="0.3">
      <c r="A137" s="23" t="s">
        <v>278</v>
      </c>
      <c r="B137" s="29">
        <v>45592</v>
      </c>
      <c r="C137" s="23" t="s">
        <v>173</v>
      </c>
      <c r="D137" s="23" t="s">
        <v>174</v>
      </c>
      <c r="E137" s="23" t="s">
        <v>119</v>
      </c>
      <c r="F137" s="23" t="s">
        <v>120</v>
      </c>
      <c r="G137" s="23" t="s">
        <v>21</v>
      </c>
      <c r="H137" s="23">
        <v>3</v>
      </c>
      <c r="I137" s="23">
        <v>89.99</v>
      </c>
      <c r="J137" s="23" t="s">
        <v>28</v>
      </c>
      <c r="K137" s="23" t="s">
        <v>42</v>
      </c>
      <c r="L137" s="23" t="s">
        <v>38</v>
      </c>
      <c r="M137" s="29">
        <v>44615</v>
      </c>
      <c r="N137" s="23">
        <v>269.97000000000003</v>
      </c>
    </row>
    <row r="138" spans="1:14" x14ac:dyDescent="0.3">
      <c r="A138" s="23" t="s">
        <v>279</v>
      </c>
      <c r="B138" s="29">
        <v>45597</v>
      </c>
      <c r="C138" s="23" t="s">
        <v>17</v>
      </c>
      <c r="D138" s="23" t="s">
        <v>18</v>
      </c>
      <c r="E138" s="23" t="s">
        <v>19</v>
      </c>
      <c r="F138" s="23" t="s">
        <v>20</v>
      </c>
      <c r="G138" s="23" t="s">
        <v>21</v>
      </c>
      <c r="H138" s="23">
        <v>5</v>
      </c>
      <c r="I138" s="23">
        <v>249.99</v>
      </c>
      <c r="J138" s="23" t="s">
        <v>28</v>
      </c>
      <c r="K138" s="23" t="s">
        <v>37</v>
      </c>
      <c r="L138" s="23" t="s">
        <v>38</v>
      </c>
      <c r="M138" s="29">
        <v>44881</v>
      </c>
      <c r="N138" s="23">
        <v>1249.95</v>
      </c>
    </row>
    <row r="139" spans="1:14" x14ac:dyDescent="0.3">
      <c r="A139" s="23" t="s">
        <v>280</v>
      </c>
      <c r="B139" s="29">
        <v>45600</v>
      </c>
      <c r="C139" s="23" t="s">
        <v>67</v>
      </c>
      <c r="D139" s="23" t="s">
        <v>68</v>
      </c>
      <c r="E139" s="23" t="s">
        <v>107</v>
      </c>
      <c r="F139" s="23" t="s">
        <v>108</v>
      </c>
      <c r="G139" s="23" t="s">
        <v>48</v>
      </c>
      <c r="H139" s="23">
        <v>3</v>
      </c>
      <c r="I139" s="23">
        <v>299.99</v>
      </c>
      <c r="J139" s="23" t="s">
        <v>28</v>
      </c>
      <c r="K139" s="23" t="s">
        <v>37</v>
      </c>
      <c r="L139" s="23" t="s">
        <v>38</v>
      </c>
      <c r="M139" s="29">
        <v>44502</v>
      </c>
      <c r="N139" s="23">
        <v>899.97</v>
      </c>
    </row>
    <row r="140" spans="1:14" x14ac:dyDescent="0.3">
      <c r="A140" s="23" t="s">
        <v>281</v>
      </c>
      <c r="B140" s="29">
        <v>45603</v>
      </c>
      <c r="C140" s="23" t="s">
        <v>101</v>
      </c>
      <c r="D140" s="23" t="s">
        <v>102</v>
      </c>
      <c r="E140" s="23" t="s">
        <v>119</v>
      </c>
      <c r="F140" s="23" t="s">
        <v>120</v>
      </c>
      <c r="G140" s="23" t="s">
        <v>21</v>
      </c>
      <c r="H140" s="23">
        <v>3</v>
      </c>
      <c r="I140" s="23">
        <v>89.99</v>
      </c>
      <c r="J140" s="23" t="s">
        <v>28</v>
      </c>
      <c r="K140" s="23" t="s">
        <v>42</v>
      </c>
      <c r="L140" s="23" t="s">
        <v>29</v>
      </c>
      <c r="M140" s="29">
        <v>44420</v>
      </c>
      <c r="N140" s="23">
        <v>269.97000000000003</v>
      </c>
    </row>
    <row r="141" spans="1:14" x14ac:dyDescent="0.3">
      <c r="A141" s="23" t="s">
        <v>282</v>
      </c>
      <c r="B141" s="29">
        <v>45604</v>
      </c>
      <c r="C141" s="23" t="s">
        <v>91</v>
      </c>
      <c r="D141" s="23" t="s">
        <v>92</v>
      </c>
      <c r="E141" s="23" t="s">
        <v>46</v>
      </c>
      <c r="F141" s="23" t="s">
        <v>47</v>
      </c>
      <c r="G141" s="23" t="s">
        <v>48</v>
      </c>
      <c r="H141" s="23">
        <v>2</v>
      </c>
      <c r="I141" s="23">
        <v>149.99</v>
      </c>
      <c r="J141" s="23" t="s">
        <v>28</v>
      </c>
      <c r="K141" s="23" t="s">
        <v>52</v>
      </c>
      <c r="L141" s="23" t="s">
        <v>29</v>
      </c>
      <c r="M141" s="29">
        <v>44848</v>
      </c>
      <c r="N141" s="23">
        <v>299.98</v>
      </c>
    </row>
    <row r="142" spans="1:14" x14ac:dyDescent="0.3">
      <c r="A142" s="23" t="s">
        <v>283</v>
      </c>
      <c r="B142" s="29">
        <v>45605</v>
      </c>
      <c r="C142" s="23" t="s">
        <v>187</v>
      </c>
      <c r="D142" s="23" t="s">
        <v>188</v>
      </c>
      <c r="E142" s="23" t="s">
        <v>19</v>
      </c>
      <c r="F142" s="23" t="s">
        <v>20</v>
      </c>
      <c r="G142" s="23" t="s">
        <v>21</v>
      </c>
      <c r="H142" s="23">
        <v>1</v>
      </c>
      <c r="I142" s="23">
        <v>249.99</v>
      </c>
      <c r="J142" s="23" t="s">
        <v>28</v>
      </c>
      <c r="K142" s="23" t="s">
        <v>42</v>
      </c>
      <c r="L142" s="23" t="s">
        <v>29</v>
      </c>
      <c r="M142" s="29">
        <v>44828</v>
      </c>
      <c r="N142" s="23">
        <v>249.99</v>
      </c>
    </row>
    <row r="143" spans="1:14" x14ac:dyDescent="0.3">
      <c r="A143" s="23" t="s">
        <v>284</v>
      </c>
      <c r="B143" s="29">
        <v>45607</v>
      </c>
      <c r="C143" s="23" t="s">
        <v>74</v>
      </c>
      <c r="D143" s="23" t="s">
        <v>75</v>
      </c>
      <c r="E143" s="23" t="s">
        <v>54</v>
      </c>
      <c r="F143" s="23" t="s">
        <v>55</v>
      </c>
      <c r="G143" s="23" t="s">
        <v>21</v>
      </c>
      <c r="H143" s="23">
        <v>3</v>
      </c>
      <c r="I143" s="23">
        <v>149.99</v>
      </c>
      <c r="J143" s="23" t="s">
        <v>22</v>
      </c>
      <c r="K143" s="23" t="s">
        <v>42</v>
      </c>
      <c r="L143" s="23" t="s">
        <v>24</v>
      </c>
      <c r="M143" s="29">
        <v>44769</v>
      </c>
      <c r="N143" s="23">
        <v>449.97</v>
      </c>
    </row>
    <row r="144" spans="1:14" x14ac:dyDescent="0.3">
      <c r="A144" s="23" t="s">
        <v>285</v>
      </c>
      <c r="B144" s="29">
        <v>45607</v>
      </c>
      <c r="C144" s="23" t="s">
        <v>17</v>
      </c>
      <c r="D144" s="23" t="s">
        <v>18</v>
      </c>
      <c r="E144" s="23" t="s">
        <v>33</v>
      </c>
      <c r="F144" s="23" t="s">
        <v>34</v>
      </c>
      <c r="G144" s="23" t="s">
        <v>35</v>
      </c>
      <c r="H144" s="23">
        <v>5</v>
      </c>
      <c r="I144" s="23">
        <v>59.99</v>
      </c>
      <c r="J144" s="23" t="s">
        <v>36</v>
      </c>
      <c r="K144" s="23" t="s">
        <v>52</v>
      </c>
      <c r="L144" s="23" t="s">
        <v>29</v>
      </c>
      <c r="M144" s="29">
        <v>44694</v>
      </c>
      <c r="N144" s="23">
        <v>299.95</v>
      </c>
    </row>
    <row r="145" spans="1:14" x14ac:dyDescent="0.3">
      <c r="A145" s="23" t="s">
        <v>286</v>
      </c>
      <c r="B145" s="29">
        <v>45607</v>
      </c>
      <c r="C145" s="23" t="s">
        <v>101</v>
      </c>
      <c r="D145" s="23" t="s">
        <v>102</v>
      </c>
      <c r="E145" s="23" t="s">
        <v>19</v>
      </c>
      <c r="F145" s="23" t="s">
        <v>20</v>
      </c>
      <c r="G145" s="23" t="s">
        <v>21</v>
      </c>
      <c r="H145" s="23">
        <v>4</v>
      </c>
      <c r="I145" s="23">
        <v>249.99</v>
      </c>
      <c r="J145" s="23" t="s">
        <v>28</v>
      </c>
      <c r="K145" s="23" t="s">
        <v>52</v>
      </c>
      <c r="L145" s="23" t="s">
        <v>38</v>
      </c>
      <c r="M145" s="29">
        <v>44659</v>
      </c>
      <c r="N145" s="23">
        <v>999.96</v>
      </c>
    </row>
    <row r="146" spans="1:14" x14ac:dyDescent="0.3">
      <c r="A146" s="23" t="s">
        <v>287</v>
      </c>
      <c r="B146" s="29">
        <v>45608</v>
      </c>
      <c r="C146" s="23" t="s">
        <v>156</v>
      </c>
      <c r="D146" s="23" t="s">
        <v>157</v>
      </c>
      <c r="E146" s="23" t="s">
        <v>46</v>
      </c>
      <c r="F146" s="23" t="s">
        <v>47</v>
      </c>
      <c r="G146" s="23" t="s">
        <v>48</v>
      </c>
      <c r="H146" s="23">
        <v>5</v>
      </c>
      <c r="I146" s="23">
        <v>149.99</v>
      </c>
      <c r="J146" s="23" t="s">
        <v>36</v>
      </c>
      <c r="K146" s="23" t="s">
        <v>23</v>
      </c>
      <c r="L146" s="23" t="s">
        <v>24</v>
      </c>
      <c r="M146" s="29">
        <v>44901</v>
      </c>
      <c r="N146" s="23">
        <v>749.95</v>
      </c>
    </row>
    <row r="147" spans="1:14" x14ac:dyDescent="0.3">
      <c r="A147" s="23" t="s">
        <v>288</v>
      </c>
      <c r="B147" s="29">
        <v>45608</v>
      </c>
      <c r="C147" s="23" t="s">
        <v>85</v>
      </c>
      <c r="D147" s="23" t="s">
        <v>86</v>
      </c>
      <c r="E147" s="23" t="s">
        <v>33</v>
      </c>
      <c r="F147" s="23" t="s">
        <v>34</v>
      </c>
      <c r="G147" s="23" t="s">
        <v>35</v>
      </c>
      <c r="H147" s="23">
        <v>3</v>
      </c>
      <c r="I147" s="23">
        <v>59.99</v>
      </c>
      <c r="J147" s="23" t="s">
        <v>59</v>
      </c>
      <c r="K147" s="23" t="s">
        <v>37</v>
      </c>
      <c r="L147" s="23" t="s">
        <v>38</v>
      </c>
      <c r="M147" s="29">
        <v>45260</v>
      </c>
      <c r="N147" s="23">
        <v>179.97</v>
      </c>
    </row>
    <row r="148" spans="1:14" x14ac:dyDescent="0.3">
      <c r="A148" s="23" t="s">
        <v>289</v>
      </c>
      <c r="B148" s="29">
        <v>45613</v>
      </c>
      <c r="C148" s="23" t="s">
        <v>236</v>
      </c>
      <c r="D148" s="23" t="s">
        <v>237</v>
      </c>
      <c r="E148" s="23" t="s">
        <v>46</v>
      </c>
      <c r="F148" s="23" t="s">
        <v>47</v>
      </c>
      <c r="G148" s="23" t="s">
        <v>48</v>
      </c>
      <c r="H148" s="23">
        <v>5</v>
      </c>
      <c r="I148" s="23">
        <v>149.99</v>
      </c>
      <c r="J148" s="23" t="s">
        <v>22</v>
      </c>
      <c r="K148" s="23" t="s">
        <v>42</v>
      </c>
      <c r="L148" s="23" t="s">
        <v>24</v>
      </c>
      <c r="M148" s="29">
        <v>44869</v>
      </c>
      <c r="N148" s="23">
        <v>749.95</v>
      </c>
    </row>
    <row r="149" spans="1:14" x14ac:dyDescent="0.3">
      <c r="A149" s="23" t="s">
        <v>290</v>
      </c>
      <c r="B149" s="29">
        <v>45613</v>
      </c>
      <c r="C149" s="23" t="s">
        <v>88</v>
      </c>
      <c r="D149" s="23" t="s">
        <v>89</v>
      </c>
      <c r="E149" s="23" t="s">
        <v>82</v>
      </c>
      <c r="F149" s="23" t="s">
        <v>83</v>
      </c>
      <c r="G149" s="23" t="s">
        <v>21</v>
      </c>
      <c r="H149" s="23">
        <v>2</v>
      </c>
      <c r="I149" s="23">
        <v>699.99</v>
      </c>
      <c r="J149" s="23" t="s">
        <v>36</v>
      </c>
      <c r="K149" s="23" t="s">
        <v>52</v>
      </c>
      <c r="L149" s="23" t="s">
        <v>38</v>
      </c>
      <c r="M149" s="29">
        <v>44770</v>
      </c>
      <c r="N149" s="23">
        <v>1399.98</v>
      </c>
    </row>
    <row r="150" spans="1:14" x14ac:dyDescent="0.3">
      <c r="A150" s="23" t="s">
        <v>291</v>
      </c>
      <c r="B150" s="29">
        <v>45617</v>
      </c>
      <c r="C150" s="23" t="s">
        <v>125</v>
      </c>
      <c r="D150" s="23" t="s">
        <v>126</v>
      </c>
      <c r="E150" s="23" t="s">
        <v>128</v>
      </c>
      <c r="F150" s="23" t="s">
        <v>129</v>
      </c>
      <c r="G150" s="23" t="s">
        <v>48</v>
      </c>
      <c r="H150" s="23">
        <v>4</v>
      </c>
      <c r="I150" s="23">
        <v>199.99</v>
      </c>
      <c r="J150" s="23" t="s">
        <v>59</v>
      </c>
      <c r="K150" s="23" t="s">
        <v>23</v>
      </c>
      <c r="L150" s="23" t="s">
        <v>29</v>
      </c>
      <c r="M150" s="29">
        <v>44427</v>
      </c>
      <c r="N150" s="23">
        <v>799.96</v>
      </c>
    </row>
    <row r="151" spans="1:14" x14ac:dyDescent="0.3">
      <c r="A151" s="23" t="s">
        <v>292</v>
      </c>
      <c r="B151" s="29">
        <v>45619</v>
      </c>
      <c r="C151" s="23" t="s">
        <v>194</v>
      </c>
      <c r="D151" s="23" t="s">
        <v>195</v>
      </c>
      <c r="E151" s="23" t="s">
        <v>33</v>
      </c>
      <c r="F151" s="23" t="s">
        <v>34</v>
      </c>
      <c r="G151" s="23" t="s">
        <v>35</v>
      </c>
      <c r="H151" s="23">
        <v>1</v>
      </c>
      <c r="I151" s="23">
        <v>59.99</v>
      </c>
      <c r="J151" s="23" t="s">
        <v>59</v>
      </c>
      <c r="K151" s="23" t="s">
        <v>52</v>
      </c>
      <c r="L151" s="23" t="s">
        <v>38</v>
      </c>
      <c r="M151" s="29">
        <v>44560</v>
      </c>
      <c r="N151" s="23">
        <v>59.99</v>
      </c>
    </row>
    <row r="152" spans="1:14" x14ac:dyDescent="0.3">
      <c r="A152" s="23" t="s">
        <v>293</v>
      </c>
      <c r="B152" s="29">
        <v>45619</v>
      </c>
      <c r="C152" s="23" t="s">
        <v>156</v>
      </c>
      <c r="D152" s="23" t="s">
        <v>157</v>
      </c>
      <c r="E152" s="23" t="s">
        <v>82</v>
      </c>
      <c r="F152" s="23" t="s">
        <v>83</v>
      </c>
      <c r="G152" s="23" t="s">
        <v>21</v>
      </c>
      <c r="H152" s="23">
        <v>3</v>
      </c>
      <c r="I152" s="23">
        <v>699.99</v>
      </c>
      <c r="J152" s="23" t="s">
        <v>36</v>
      </c>
      <c r="K152" s="23" t="s">
        <v>52</v>
      </c>
      <c r="L152" s="23" t="s">
        <v>38</v>
      </c>
      <c r="M152" s="29">
        <v>44583</v>
      </c>
      <c r="N152" s="23">
        <v>2099.9699999999998</v>
      </c>
    </row>
    <row r="153" spans="1:14" x14ac:dyDescent="0.3">
      <c r="A153" s="23" t="s">
        <v>294</v>
      </c>
      <c r="B153" s="29">
        <v>45622</v>
      </c>
      <c r="C153" s="23" t="s">
        <v>295</v>
      </c>
      <c r="D153" s="23" t="s">
        <v>296</v>
      </c>
      <c r="E153" s="23" t="s">
        <v>19</v>
      </c>
      <c r="F153" s="23" t="s">
        <v>20</v>
      </c>
      <c r="G153" s="23" t="s">
        <v>21</v>
      </c>
      <c r="H153" s="23">
        <v>5</v>
      </c>
      <c r="I153" s="23">
        <v>249.99</v>
      </c>
      <c r="J153" s="23" t="s">
        <v>28</v>
      </c>
      <c r="K153" s="23" t="s">
        <v>42</v>
      </c>
      <c r="L153" s="23" t="s">
        <v>24</v>
      </c>
      <c r="M153" s="29">
        <v>44873</v>
      </c>
      <c r="N153" s="23">
        <v>1249.95</v>
      </c>
    </row>
    <row r="154" spans="1:14" x14ac:dyDescent="0.3">
      <c r="A154" s="23" t="s">
        <v>297</v>
      </c>
      <c r="B154" s="29">
        <v>45623</v>
      </c>
      <c r="C154" s="23" t="s">
        <v>114</v>
      </c>
      <c r="D154" s="23" t="s">
        <v>115</v>
      </c>
      <c r="E154" s="23" t="s">
        <v>46</v>
      </c>
      <c r="F154" s="23" t="s">
        <v>47</v>
      </c>
      <c r="G154" s="23" t="s">
        <v>48</v>
      </c>
      <c r="H154" s="23">
        <v>2</v>
      </c>
      <c r="I154" s="23">
        <v>149.99</v>
      </c>
      <c r="J154" s="23" t="s">
        <v>22</v>
      </c>
      <c r="K154" s="23" t="s">
        <v>37</v>
      </c>
      <c r="L154" s="23" t="s">
        <v>38</v>
      </c>
      <c r="M154" s="29">
        <v>45101</v>
      </c>
      <c r="N154" s="23">
        <v>299.98</v>
      </c>
    </row>
    <row r="155" spans="1:14" x14ac:dyDescent="0.3">
      <c r="A155" s="23" t="s">
        <v>298</v>
      </c>
      <c r="B155" s="29">
        <v>45627</v>
      </c>
      <c r="C155" s="23" t="s">
        <v>31</v>
      </c>
      <c r="D155" s="23" t="s">
        <v>32</v>
      </c>
      <c r="E155" s="23" t="s">
        <v>107</v>
      </c>
      <c r="F155" s="23" t="s">
        <v>108</v>
      </c>
      <c r="G155" s="23" t="s">
        <v>48</v>
      </c>
      <c r="H155" s="23">
        <v>3</v>
      </c>
      <c r="I155" s="23">
        <v>299.99</v>
      </c>
      <c r="J155" s="23" t="s">
        <v>22</v>
      </c>
      <c r="K155" s="23" t="s">
        <v>37</v>
      </c>
      <c r="L155" s="23" t="s">
        <v>29</v>
      </c>
      <c r="M155" s="29">
        <v>44659</v>
      </c>
      <c r="N155" s="23">
        <v>899.97</v>
      </c>
    </row>
    <row r="156" spans="1:14" x14ac:dyDescent="0.3">
      <c r="A156" s="23" t="s">
        <v>299</v>
      </c>
      <c r="B156" s="29">
        <v>45627</v>
      </c>
      <c r="C156" s="23" t="s">
        <v>57</v>
      </c>
      <c r="D156" s="23" t="s">
        <v>58</v>
      </c>
      <c r="E156" s="23" t="s">
        <v>19</v>
      </c>
      <c r="F156" s="23" t="s">
        <v>20</v>
      </c>
      <c r="G156" s="23" t="s">
        <v>21</v>
      </c>
      <c r="H156" s="23">
        <v>5</v>
      </c>
      <c r="I156" s="23">
        <v>249.99</v>
      </c>
      <c r="J156" s="23" t="s">
        <v>22</v>
      </c>
      <c r="K156" s="23" t="s">
        <v>23</v>
      </c>
      <c r="L156" s="23" t="s">
        <v>29</v>
      </c>
      <c r="M156" s="29">
        <v>44485</v>
      </c>
      <c r="N156" s="23">
        <v>1249.95</v>
      </c>
    </row>
    <row r="157" spans="1:14" x14ac:dyDescent="0.3">
      <c r="A157" s="23" t="s">
        <v>300</v>
      </c>
      <c r="B157" s="29">
        <v>45627</v>
      </c>
      <c r="C157" s="23" t="s">
        <v>26</v>
      </c>
      <c r="D157" s="23" t="s">
        <v>27</v>
      </c>
      <c r="E157" s="23" t="s">
        <v>54</v>
      </c>
      <c r="F157" s="23" t="s">
        <v>55</v>
      </c>
      <c r="G157" s="23" t="s">
        <v>21</v>
      </c>
      <c r="H157" s="23">
        <v>2</v>
      </c>
      <c r="I157" s="23">
        <v>149.99</v>
      </c>
      <c r="J157" s="23" t="s">
        <v>22</v>
      </c>
      <c r="K157" s="23" t="s">
        <v>37</v>
      </c>
      <c r="L157" s="23" t="s">
        <v>29</v>
      </c>
      <c r="M157" s="29">
        <v>44475</v>
      </c>
      <c r="N157" s="23">
        <v>299.98</v>
      </c>
    </row>
    <row r="158" spans="1:14" x14ac:dyDescent="0.3">
      <c r="A158" s="23" t="s">
        <v>301</v>
      </c>
      <c r="B158" s="29">
        <v>45627</v>
      </c>
      <c r="C158" s="23" t="s">
        <v>88</v>
      </c>
      <c r="D158" s="23" t="s">
        <v>89</v>
      </c>
      <c r="E158" s="23" t="s">
        <v>82</v>
      </c>
      <c r="F158" s="23" t="s">
        <v>83</v>
      </c>
      <c r="G158" s="23" t="s">
        <v>21</v>
      </c>
      <c r="H158" s="23">
        <v>5</v>
      </c>
      <c r="I158" s="23">
        <v>699.99</v>
      </c>
      <c r="J158" s="23" t="s">
        <v>59</v>
      </c>
      <c r="K158" s="23" t="s">
        <v>52</v>
      </c>
      <c r="L158" s="23" t="s">
        <v>38</v>
      </c>
      <c r="M158" s="29">
        <v>44944</v>
      </c>
      <c r="N158" s="23">
        <v>3499.95</v>
      </c>
    </row>
    <row r="159" spans="1:14" x14ac:dyDescent="0.3">
      <c r="A159" s="23" t="s">
        <v>302</v>
      </c>
      <c r="B159" s="29">
        <v>45629</v>
      </c>
      <c r="C159" s="23" t="s">
        <v>254</v>
      </c>
      <c r="D159" s="23" t="s">
        <v>255</v>
      </c>
      <c r="E159" s="23" t="s">
        <v>19</v>
      </c>
      <c r="F159" s="23" t="s">
        <v>20</v>
      </c>
      <c r="G159" s="23" t="s">
        <v>21</v>
      </c>
      <c r="H159" s="23">
        <v>4</v>
      </c>
      <c r="I159" s="23">
        <v>249.99</v>
      </c>
      <c r="J159" s="23" t="s">
        <v>36</v>
      </c>
      <c r="K159" s="23" t="s">
        <v>65</v>
      </c>
      <c r="L159" s="23" t="s">
        <v>29</v>
      </c>
      <c r="M159" s="29">
        <v>45098</v>
      </c>
      <c r="N159" s="23">
        <v>999.96</v>
      </c>
    </row>
    <row r="160" spans="1:14" x14ac:dyDescent="0.3">
      <c r="A160" s="23" t="s">
        <v>303</v>
      </c>
      <c r="B160" s="29">
        <v>45630</v>
      </c>
      <c r="C160" s="23" t="s">
        <v>50</v>
      </c>
      <c r="D160" s="23" t="s">
        <v>51</v>
      </c>
      <c r="E160" s="23" t="s">
        <v>82</v>
      </c>
      <c r="F160" s="23" t="s">
        <v>83</v>
      </c>
      <c r="G160" s="23" t="s">
        <v>21</v>
      </c>
      <c r="H160" s="23">
        <v>4</v>
      </c>
      <c r="I160" s="23">
        <v>699.99</v>
      </c>
      <c r="J160" s="23" t="s">
        <v>28</v>
      </c>
      <c r="K160" s="23" t="s">
        <v>42</v>
      </c>
      <c r="L160" s="23" t="s">
        <v>29</v>
      </c>
      <c r="M160" s="29">
        <v>44703</v>
      </c>
      <c r="N160" s="23">
        <v>2799.96</v>
      </c>
    </row>
    <row r="161" spans="1:14" x14ac:dyDescent="0.3">
      <c r="A161" s="23" t="s">
        <v>304</v>
      </c>
      <c r="B161" s="29">
        <v>45635</v>
      </c>
      <c r="C161" s="23" t="s">
        <v>110</v>
      </c>
      <c r="D161" s="23" t="s">
        <v>111</v>
      </c>
      <c r="E161" s="23" t="s">
        <v>19</v>
      </c>
      <c r="F161" s="23" t="s">
        <v>20</v>
      </c>
      <c r="G161" s="23" t="s">
        <v>21</v>
      </c>
      <c r="H161" s="23">
        <v>2</v>
      </c>
      <c r="I161" s="23">
        <v>249.99</v>
      </c>
      <c r="J161" s="23" t="s">
        <v>28</v>
      </c>
      <c r="K161" s="23" t="s">
        <v>23</v>
      </c>
      <c r="L161" s="23" t="s">
        <v>29</v>
      </c>
      <c r="M161" s="29">
        <v>44396</v>
      </c>
      <c r="N161" s="23">
        <v>499.98</v>
      </c>
    </row>
    <row r="162" spans="1:14" x14ac:dyDescent="0.3">
      <c r="A162" s="23" t="s">
        <v>305</v>
      </c>
      <c r="B162" s="29">
        <v>45635</v>
      </c>
      <c r="C162" s="23" t="s">
        <v>306</v>
      </c>
      <c r="D162" s="23" t="s">
        <v>307</v>
      </c>
      <c r="E162" s="23" t="s">
        <v>33</v>
      </c>
      <c r="F162" s="23" t="s">
        <v>34</v>
      </c>
      <c r="G162" s="23" t="s">
        <v>35</v>
      </c>
      <c r="H162" s="23">
        <v>3</v>
      </c>
      <c r="I162" s="23">
        <v>59.99</v>
      </c>
      <c r="J162" s="23" t="s">
        <v>22</v>
      </c>
      <c r="K162" s="23" t="s">
        <v>23</v>
      </c>
      <c r="L162" s="23" t="s">
        <v>29</v>
      </c>
      <c r="M162" s="29">
        <v>45052</v>
      </c>
      <c r="N162" s="23">
        <v>179.97</v>
      </c>
    </row>
    <row r="163" spans="1:14" x14ac:dyDescent="0.3">
      <c r="A163" s="23" t="s">
        <v>308</v>
      </c>
      <c r="B163" s="29">
        <v>45635</v>
      </c>
      <c r="C163" s="23" t="s">
        <v>143</v>
      </c>
      <c r="D163" s="23" t="s">
        <v>144</v>
      </c>
      <c r="E163" s="23" t="s">
        <v>116</v>
      </c>
      <c r="F163" s="23" t="s">
        <v>117</v>
      </c>
      <c r="G163" s="23" t="s">
        <v>35</v>
      </c>
      <c r="H163" s="23">
        <v>4</v>
      </c>
      <c r="I163" s="23">
        <v>79.989999999999995</v>
      </c>
      <c r="J163" s="23" t="s">
        <v>59</v>
      </c>
      <c r="K163" s="23" t="s">
        <v>65</v>
      </c>
      <c r="L163" s="23" t="s">
        <v>38</v>
      </c>
      <c r="M163" s="29">
        <v>44921</v>
      </c>
      <c r="N163" s="23">
        <v>319.95999999999998</v>
      </c>
    </row>
    <row r="164" spans="1:14" x14ac:dyDescent="0.3">
      <c r="A164" s="23" t="s">
        <v>309</v>
      </c>
      <c r="B164" s="29">
        <v>45636</v>
      </c>
      <c r="C164" s="23" t="s">
        <v>122</v>
      </c>
      <c r="D164" s="23" t="s">
        <v>123</v>
      </c>
      <c r="E164" s="23" t="s">
        <v>116</v>
      </c>
      <c r="F164" s="23" t="s">
        <v>117</v>
      </c>
      <c r="G164" s="23" t="s">
        <v>35</v>
      </c>
      <c r="H164" s="23">
        <v>3</v>
      </c>
      <c r="I164" s="23">
        <v>79.989999999999995</v>
      </c>
      <c r="J164" s="23" t="s">
        <v>59</v>
      </c>
      <c r="K164" s="23" t="s">
        <v>65</v>
      </c>
      <c r="L164" s="23" t="s">
        <v>38</v>
      </c>
      <c r="M164" s="29">
        <v>44779</v>
      </c>
      <c r="N164" s="23">
        <v>239.97</v>
      </c>
    </row>
    <row r="165" spans="1:14" x14ac:dyDescent="0.3">
      <c r="A165" s="23" t="s">
        <v>310</v>
      </c>
      <c r="B165" s="29">
        <v>45638</v>
      </c>
      <c r="C165" s="23" t="s">
        <v>74</v>
      </c>
      <c r="D165" s="23" t="s">
        <v>75</v>
      </c>
      <c r="E165" s="23" t="s">
        <v>63</v>
      </c>
      <c r="F165" s="23" t="s">
        <v>64</v>
      </c>
      <c r="G165" s="23" t="s">
        <v>21</v>
      </c>
      <c r="H165" s="23">
        <v>2</v>
      </c>
      <c r="I165" s="23">
        <v>899.99</v>
      </c>
      <c r="J165" s="23" t="s">
        <v>22</v>
      </c>
      <c r="K165" s="23" t="s">
        <v>42</v>
      </c>
      <c r="L165" s="23" t="s">
        <v>24</v>
      </c>
      <c r="M165" s="29">
        <v>44406</v>
      </c>
      <c r="N165" s="23">
        <v>1799.98</v>
      </c>
    </row>
    <row r="166" spans="1:14" x14ac:dyDescent="0.3">
      <c r="A166" s="23" t="s">
        <v>311</v>
      </c>
      <c r="B166" s="29">
        <v>45641</v>
      </c>
      <c r="C166" s="23" t="s">
        <v>184</v>
      </c>
      <c r="D166" s="23" t="s">
        <v>185</v>
      </c>
      <c r="E166" s="23" t="s">
        <v>46</v>
      </c>
      <c r="F166" s="23" t="s">
        <v>47</v>
      </c>
      <c r="G166" s="23" t="s">
        <v>48</v>
      </c>
      <c r="H166" s="23">
        <v>1</v>
      </c>
      <c r="I166" s="23">
        <v>149.99</v>
      </c>
      <c r="J166" s="23" t="s">
        <v>59</v>
      </c>
      <c r="K166" s="23" t="s">
        <v>65</v>
      </c>
      <c r="L166" s="23" t="s">
        <v>38</v>
      </c>
      <c r="M166" s="29">
        <v>45200</v>
      </c>
      <c r="N166" s="23">
        <v>149.99</v>
      </c>
    </row>
    <row r="167" spans="1:14" x14ac:dyDescent="0.3">
      <c r="A167" s="23" t="s">
        <v>312</v>
      </c>
      <c r="B167" s="29">
        <v>45641</v>
      </c>
      <c r="C167" s="23" t="s">
        <v>140</v>
      </c>
      <c r="D167" s="23" t="s">
        <v>141</v>
      </c>
      <c r="E167" s="23" t="s">
        <v>107</v>
      </c>
      <c r="F167" s="23" t="s">
        <v>108</v>
      </c>
      <c r="G167" s="23" t="s">
        <v>48</v>
      </c>
      <c r="H167" s="23">
        <v>2</v>
      </c>
      <c r="I167" s="23">
        <v>299.99</v>
      </c>
      <c r="J167" s="23" t="s">
        <v>22</v>
      </c>
      <c r="K167" s="23" t="s">
        <v>65</v>
      </c>
      <c r="L167" s="23" t="s">
        <v>29</v>
      </c>
      <c r="M167" s="29">
        <v>44724</v>
      </c>
      <c r="N167" s="23">
        <v>599.98</v>
      </c>
    </row>
    <row r="168" spans="1:14" x14ac:dyDescent="0.3">
      <c r="A168" s="23" t="s">
        <v>313</v>
      </c>
      <c r="B168" s="29">
        <v>45644</v>
      </c>
      <c r="C168" s="23" t="s">
        <v>134</v>
      </c>
      <c r="D168" s="23" t="s">
        <v>135</v>
      </c>
      <c r="E168" s="23" t="s">
        <v>33</v>
      </c>
      <c r="F168" s="23" t="s">
        <v>34</v>
      </c>
      <c r="G168" s="23" t="s">
        <v>35</v>
      </c>
      <c r="H168" s="23">
        <v>2</v>
      </c>
      <c r="I168" s="23">
        <v>59.99</v>
      </c>
      <c r="J168" s="23" t="s">
        <v>22</v>
      </c>
      <c r="K168" s="23" t="s">
        <v>52</v>
      </c>
      <c r="L168" s="23" t="s">
        <v>24</v>
      </c>
      <c r="M168" s="29">
        <v>45191</v>
      </c>
      <c r="N168" s="23">
        <v>119.98</v>
      </c>
    </row>
    <row r="169" spans="1:14" x14ac:dyDescent="0.3">
      <c r="A169" s="23" t="s">
        <v>314</v>
      </c>
      <c r="B169" s="29">
        <v>45645</v>
      </c>
      <c r="C169" s="23" t="s">
        <v>184</v>
      </c>
      <c r="D169" s="23" t="s">
        <v>185</v>
      </c>
      <c r="E169" s="23" t="s">
        <v>119</v>
      </c>
      <c r="F169" s="23" t="s">
        <v>120</v>
      </c>
      <c r="G169" s="23" t="s">
        <v>21</v>
      </c>
      <c r="H169" s="23">
        <v>1</v>
      </c>
      <c r="I169" s="23">
        <v>89.99</v>
      </c>
      <c r="J169" s="23" t="s">
        <v>59</v>
      </c>
      <c r="K169" s="23" t="s">
        <v>23</v>
      </c>
      <c r="L169" s="23" t="s">
        <v>38</v>
      </c>
      <c r="M169" s="29">
        <v>44760</v>
      </c>
      <c r="N169" s="23">
        <v>89.99</v>
      </c>
    </row>
    <row r="170" spans="1:14" x14ac:dyDescent="0.3">
      <c r="A170" s="23" t="s">
        <v>315</v>
      </c>
      <c r="B170" s="29">
        <v>45645</v>
      </c>
      <c r="C170" s="23" t="s">
        <v>149</v>
      </c>
      <c r="D170" s="23" t="s">
        <v>150</v>
      </c>
      <c r="E170" s="23" t="s">
        <v>63</v>
      </c>
      <c r="F170" s="23" t="s">
        <v>64</v>
      </c>
      <c r="G170" s="23" t="s">
        <v>21</v>
      </c>
      <c r="H170" s="23">
        <v>5</v>
      </c>
      <c r="I170" s="23">
        <v>899.99</v>
      </c>
      <c r="J170" s="23" t="s">
        <v>59</v>
      </c>
      <c r="K170" s="23" t="s">
        <v>65</v>
      </c>
      <c r="L170" s="23" t="s">
        <v>38</v>
      </c>
      <c r="M170" s="29">
        <v>44625</v>
      </c>
      <c r="N170" s="23">
        <v>4499.95</v>
      </c>
    </row>
    <row r="171" spans="1:14" x14ac:dyDescent="0.3">
      <c r="A171" s="23" t="s">
        <v>316</v>
      </c>
      <c r="B171" s="29">
        <v>45646</v>
      </c>
      <c r="C171" s="23" t="s">
        <v>44</v>
      </c>
      <c r="D171" s="23" t="s">
        <v>45</v>
      </c>
      <c r="E171" s="23" t="s">
        <v>46</v>
      </c>
      <c r="F171" s="23" t="s">
        <v>47</v>
      </c>
      <c r="G171" s="23" t="s">
        <v>48</v>
      </c>
      <c r="H171" s="23">
        <v>2</v>
      </c>
      <c r="I171" s="23">
        <v>149.99</v>
      </c>
      <c r="J171" s="23" t="s">
        <v>22</v>
      </c>
      <c r="K171" s="23" t="s">
        <v>37</v>
      </c>
      <c r="L171" s="23" t="s">
        <v>24</v>
      </c>
      <c r="M171" s="29">
        <v>45239</v>
      </c>
      <c r="N171" s="23">
        <v>299.98</v>
      </c>
    </row>
    <row r="172" spans="1:14" x14ac:dyDescent="0.3">
      <c r="A172" s="23" t="s">
        <v>317</v>
      </c>
      <c r="B172" s="29">
        <v>45648</v>
      </c>
      <c r="C172" s="23" t="s">
        <v>114</v>
      </c>
      <c r="D172" s="23" t="s">
        <v>115</v>
      </c>
      <c r="E172" s="23" t="s">
        <v>54</v>
      </c>
      <c r="F172" s="23" t="s">
        <v>55</v>
      </c>
      <c r="G172" s="23" t="s">
        <v>21</v>
      </c>
      <c r="H172" s="23">
        <v>2</v>
      </c>
      <c r="I172" s="23">
        <v>149.99</v>
      </c>
      <c r="J172" s="23" t="s">
        <v>59</v>
      </c>
      <c r="K172" s="23" t="s">
        <v>52</v>
      </c>
      <c r="L172" s="23" t="s">
        <v>29</v>
      </c>
      <c r="M172" s="29">
        <v>45280</v>
      </c>
      <c r="N172" s="23">
        <v>299.98</v>
      </c>
    </row>
    <row r="173" spans="1:14" x14ac:dyDescent="0.3">
      <c r="A173" s="23" t="s">
        <v>318</v>
      </c>
      <c r="B173" s="29">
        <v>45648</v>
      </c>
      <c r="C173" s="23" t="s">
        <v>184</v>
      </c>
      <c r="D173" s="23" t="s">
        <v>185</v>
      </c>
      <c r="E173" s="23" t="s">
        <v>46</v>
      </c>
      <c r="F173" s="23" t="s">
        <v>47</v>
      </c>
      <c r="G173" s="23" t="s">
        <v>48</v>
      </c>
      <c r="H173" s="23">
        <v>3</v>
      </c>
      <c r="I173" s="23">
        <v>149.99</v>
      </c>
      <c r="J173" s="23" t="s">
        <v>59</v>
      </c>
      <c r="K173" s="23" t="s">
        <v>42</v>
      </c>
      <c r="L173" s="23" t="s">
        <v>38</v>
      </c>
      <c r="M173" s="29">
        <v>44522</v>
      </c>
      <c r="N173" s="23">
        <v>449.97</v>
      </c>
    </row>
    <row r="174" spans="1:14" x14ac:dyDescent="0.3">
      <c r="A174" s="23" t="s">
        <v>319</v>
      </c>
      <c r="B174" s="29">
        <v>45649</v>
      </c>
      <c r="C174" s="23" t="s">
        <v>31</v>
      </c>
      <c r="D174" s="23" t="s">
        <v>32</v>
      </c>
      <c r="E174" s="23" t="s">
        <v>107</v>
      </c>
      <c r="F174" s="23" t="s">
        <v>108</v>
      </c>
      <c r="G174" s="23" t="s">
        <v>48</v>
      </c>
      <c r="H174" s="23">
        <v>2</v>
      </c>
      <c r="I174" s="23">
        <v>299.99</v>
      </c>
      <c r="J174" s="23" t="s">
        <v>36</v>
      </c>
      <c r="K174" s="23" t="s">
        <v>37</v>
      </c>
      <c r="L174" s="23" t="s">
        <v>24</v>
      </c>
      <c r="M174" s="29">
        <v>44721</v>
      </c>
      <c r="N174" s="23">
        <v>599.98</v>
      </c>
    </row>
    <row r="175" spans="1:14" x14ac:dyDescent="0.3">
      <c r="A175" s="23" t="s">
        <v>320</v>
      </c>
      <c r="B175" s="29">
        <v>45654</v>
      </c>
      <c r="C175" s="23" t="s">
        <v>44</v>
      </c>
      <c r="D175" s="23" t="s">
        <v>45</v>
      </c>
      <c r="E175" s="23" t="s">
        <v>107</v>
      </c>
      <c r="F175" s="23" t="s">
        <v>108</v>
      </c>
      <c r="G175" s="23" t="s">
        <v>48</v>
      </c>
      <c r="H175" s="23">
        <v>2</v>
      </c>
      <c r="I175" s="23">
        <v>299.99</v>
      </c>
      <c r="J175" s="23" t="s">
        <v>22</v>
      </c>
      <c r="K175" s="23" t="s">
        <v>52</v>
      </c>
      <c r="L175" s="23" t="s">
        <v>24</v>
      </c>
      <c r="M175" s="29">
        <v>44771</v>
      </c>
      <c r="N175" s="23">
        <v>599.98</v>
      </c>
    </row>
    <row r="176" spans="1:14" x14ac:dyDescent="0.3">
      <c r="A176" s="23" t="s">
        <v>321</v>
      </c>
      <c r="B176" s="29">
        <v>45654</v>
      </c>
      <c r="C176" s="23" t="s">
        <v>122</v>
      </c>
      <c r="D176" s="23" t="s">
        <v>123</v>
      </c>
      <c r="E176" s="23" t="s">
        <v>128</v>
      </c>
      <c r="F176" s="23" t="s">
        <v>129</v>
      </c>
      <c r="G176" s="23" t="s">
        <v>48</v>
      </c>
      <c r="H176" s="23">
        <v>4</v>
      </c>
      <c r="I176" s="23">
        <v>199.99</v>
      </c>
      <c r="J176" s="23" t="s">
        <v>28</v>
      </c>
      <c r="K176" s="23" t="s">
        <v>23</v>
      </c>
      <c r="L176" s="23" t="s">
        <v>24</v>
      </c>
      <c r="M176" s="29">
        <v>44523</v>
      </c>
      <c r="N176" s="23">
        <v>799.96</v>
      </c>
    </row>
    <row r="177" spans="1:14" x14ac:dyDescent="0.3">
      <c r="A177" s="23" t="s">
        <v>322</v>
      </c>
      <c r="B177" s="29">
        <v>45655</v>
      </c>
      <c r="C177" s="23" t="s">
        <v>61</v>
      </c>
      <c r="D177" s="23" t="s">
        <v>62</v>
      </c>
      <c r="E177" s="23" t="s">
        <v>119</v>
      </c>
      <c r="F177" s="23" t="s">
        <v>120</v>
      </c>
      <c r="G177" s="23" t="s">
        <v>21</v>
      </c>
      <c r="H177" s="23">
        <v>1</v>
      </c>
      <c r="I177" s="23">
        <v>89.99</v>
      </c>
      <c r="J177" s="23" t="s">
        <v>28</v>
      </c>
      <c r="K177" s="23" t="s">
        <v>37</v>
      </c>
      <c r="L177" s="23" t="s">
        <v>29</v>
      </c>
      <c r="M177" s="29">
        <v>44591</v>
      </c>
      <c r="N177" s="23">
        <v>89.99</v>
      </c>
    </row>
    <row r="178" spans="1:14" x14ac:dyDescent="0.3">
      <c r="A178" s="23" t="s">
        <v>323</v>
      </c>
      <c r="B178" s="29">
        <v>45655</v>
      </c>
      <c r="C178" s="23" t="s">
        <v>110</v>
      </c>
      <c r="D178" s="23" t="s">
        <v>111</v>
      </c>
      <c r="E178" s="23" t="s">
        <v>46</v>
      </c>
      <c r="F178" s="23" t="s">
        <v>47</v>
      </c>
      <c r="G178" s="23" t="s">
        <v>48</v>
      </c>
      <c r="H178" s="23">
        <v>5</v>
      </c>
      <c r="I178" s="23">
        <v>149.99</v>
      </c>
      <c r="J178" s="23" t="s">
        <v>22</v>
      </c>
      <c r="K178" s="23" t="s">
        <v>23</v>
      </c>
      <c r="L178" s="23" t="s">
        <v>29</v>
      </c>
      <c r="M178" s="29">
        <v>45347</v>
      </c>
      <c r="N178" s="23">
        <v>749.95</v>
      </c>
    </row>
    <row r="179" spans="1:14" x14ac:dyDescent="0.3">
      <c r="A179" s="23" t="s">
        <v>324</v>
      </c>
      <c r="B179" s="29">
        <v>45657</v>
      </c>
      <c r="C179" s="23" t="s">
        <v>88</v>
      </c>
      <c r="D179" s="23" t="s">
        <v>89</v>
      </c>
      <c r="E179" s="23" t="s">
        <v>63</v>
      </c>
      <c r="F179" s="23" t="s">
        <v>64</v>
      </c>
      <c r="G179" s="23" t="s">
        <v>21</v>
      </c>
      <c r="H179" s="23">
        <v>1</v>
      </c>
      <c r="I179" s="23">
        <v>899.99</v>
      </c>
      <c r="J179" s="23" t="s">
        <v>36</v>
      </c>
      <c r="K179" s="23" t="s">
        <v>42</v>
      </c>
      <c r="L179" s="23" t="s">
        <v>29</v>
      </c>
      <c r="M179" s="29">
        <v>45050</v>
      </c>
      <c r="N179" s="23">
        <v>899.99</v>
      </c>
    </row>
    <row r="180" spans="1:14" x14ac:dyDescent="0.3">
      <c r="A180" s="23" t="s">
        <v>325</v>
      </c>
      <c r="B180" s="29">
        <v>45660</v>
      </c>
      <c r="C180" s="23" t="s">
        <v>149</v>
      </c>
      <c r="D180" s="23" t="s">
        <v>150</v>
      </c>
      <c r="E180" s="23" t="s">
        <v>119</v>
      </c>
      <c r="F180" s="23" t="s">
        <v>120</v>
      </c>
      <c r="G180" s="23" t="s">
        <v>21</v>
      </c>
      <c r="H180" s="23">
        <v>2</v>
      </c>
      <c r="I180" s="23">
        <v>89.99</v>
      </c>
      <c r="J180" s="23" t="s">
        <v>28</v>
      </c>
      <c r="K180" s="23" t="s">
        <v>37</v>
      </c>
      <c r="L180" s="23" t="s">
        <v>29</v>
      </c>
      <c r="M180" s="29">
        <v>44564</v>
      </c>
      <c r="N180" s="23">
        <v>179.98</v>
      </c>
    </row>
    <row r="181" spans="1:14" x14ac:dyDescent="0.3">
      <c r="A181" s="23" t="s">
        <v>326</v>
      </c>
      <c r="B181" s="29">
        <v>45661</v>
      </c>
      <c r="C181" s="23" t="s">
        <v>327</v>
      </c>
      <c r="D181" s="23" t="s">
        <v>328</v>
      </c>
      <c r="E181" s="23" t="s">
        <v>63</v>
      </c>
      <c r="F181" s="23" t="s">
        <v>64</v>
      </c>
      <c r="G181" s="23" t="s">
        <v>21</v>
      </c>
      <c r="H181" s="23">
        <v>1</v>
      </c>
      <c r="I181" s="23">
        <v>899.99</v>
      </c>
      <c r="J181" s="23" t="s">
        <v>36</v>
      </c>
      <c r="K181" s="23" t="s">
        <v>42</v>
      </c>
      <c r="L181" s="23" t="s">
        <v>38</v>
      </c>
      <c r="M181" s="29">
        <v>44752</v>
      </c>
      <c r="N181" s="23">
        <v>899.99</v>
      </c>
    </row>
    <row r="182" spans="1:14" x14ac:dyDescent="0.3">
      <c r="A182" s="23" t="s">
        <v>329</v>
      </c>
      <c r="B182" s="29">
        <v>45663</v>
      </c>
      <c r="C182" s="23" t="s">
        <v>131</v>
      </c>
      <c r="D182" s="23" t="s">
        <v>132</v>
      </c>
      <c r="E182" s="23" t="s">
        <v>54</v>
      </c>
      <c r="F182" s="23" t="s">
        <v>55</v>
      </c>
      <c r="G182" s="23" t="s">
        <v>21</v>
      </c>
      <c r="H182" s="23">
        <v>5</v>
      </c>
      <c r="I182" s="23">
        <v>149.99</v>
      </c>
      <c r="J182" s="23" t="s">
        <v>36</v>
      </c>
      <c r="K182" s="23" t="s">
        <v>65</v>
      </c>
      <c r="L182" s="23" t="s">
        <v>29</v>
      </c>
      <c r="M182" s="29">
        <v>44824</v>
      </c>
      <c r="N182" s="23">
        <v>749.95</v>
      </c>
    </row>
    <row r="183" spans="1:14" x14ac:dyDescent="0.3">
      <c r="A183" s="23" t="s">
        <v>330</v>
      </c>
      <c r="B183" s="29">
        <v>45663</v>
      </c>
      <c r="C183" s="23" t="s">
        <v>44</v>
      </c>
      <c r="D183" s="23" t="s">
        <v>45</v>
      </c>
      <c r="E183" s="23" t="s">
        <v>107</v>
      </c>
      <c r="F183" s="23" t="s">
        <v>108</v>
      </c>
      <c r="G183" s="23" t="s">
        <v>48</v>
      </c>
      <c r="H183" s="23">
        <v>3</v>
      </c>
      <c r="I183" s="23">
        <v>299.99</v>
      </c>
      <c r="J183" s="23" t="s">
        <v>22</v>
      </c>
      <c r="K183" s="23" t="s">
        <v>37</v>
      </c>
      <c r="L183" s="23" t="s">
        <v>38</v>
      </c>
      <c r="M183" s="29">
        <v>44422</v>
      </c>
      <c r="N183" s="23">
        <v>899.97</v>
      </c>
    </row>
    <row r="184" spans="1:14" x14ac:dyDescent="0.3">
      <c r="A184" s="23" t="s">
        <v>331</v>
      </c>
      <c r="B184" s="29">
        <v>45666</v>
      </c>
      <c r="C184" s="23" t="s">
        <v>67</v>
      </c>
      <c r="D184" s="23" t="s">
        <v>68</v>
      </c>
      <c r="E184" s="23" t="s">
        <v>82</v>
      </c>
      <c r="F184" s="23" t="s">
        <v>83</v>
      </c>
      <c r="G184" s="23" t="s">
        <v>21</v>
      </c>
      <c r="H184" s="23">
        <v>3</v>
      </c>
      <c r="I184" s="23">
        <v>699.99</v>
      </c>
      <c r="J184" s="23" t="s">
        <v>28</v>
      </c>
      <c r="K184" s="23" t="s">
        <v>23</v>
      </c>
      <c r="L184" s="23" t="s">
        <v>29</v>
      </c>
      <c r="M184" s="29">
        <v>45105</v>
      </c>
      <c r="N184" s="23">
        <v>2099.9699999999998</v>
      </c>
    </row>
    <row r="185" spans="1:14" x14ac:dyDescent="0.3">
      <c r="A185" s="23" t="s">
        <v>332</v>
      </c>
      <c r="B185" s="29">
        <v>45667</v>
      </c>
      <c r="C185" s="23" t="s">
        <v>110</v>
      </c>
      <c r="D185" s="23" t="s">
        <v>111</v>
      </c>
      <c r="E185" s="23" t="s">
        <v>128</v>
      </c>
      <c r="F185" s="23" t="s">
        <v>129</v>
      </c>
      <c r="G185" s="23" t="s">
        <v>48</v>
      </c>
      <c r="H185" s="23">
        <v>5</v>
      </c>
      <c r="I185" s="23">
        <v>199.99</v>
      </c>
      <c r="J185" s="23" t="s">
        <v>36</v>
      </c>
      <c r="K185" s="23" t="s">
        <v>23</v>
      </c>
      <c r="L185" s="23" t="s">
        <v>38</v>
      </c>
      <c r="M185" s="29">
        <v>44633</v>
      </c>
      <c r="N185" s="23">
        <v>999.95</v>
      </c>
    </row>
    <row r="186" spans="1:14" x14ac:dyDescent="0.3">
      <c r="A186" s="23" t="s">
        <v>333</v>
      </c>
      <c r="B186" s="29">
        <v>45667</v>
      </c>
      <c r="C186" s="23" t="s">
        <v>95</v>
      </c>
      <c r="D186" s="23" t="s">
        <v>96</v>
      </c>
      <c r="E186" s="23" t="s">
        <v>19</v>
      </c>
      <c r="F186" s="23" t="s">
        <v>20</v>
      </c>
      <c r="G186" s="23" t="s">
        <v>21</v>
      </c>
      <c r="H186" s="23">
        <v>5</v>
      </c>
      <c r="I186" s="23">
        <v>249.99</v>
      </c>
      <c r="J186" s="23" t="s">
        <v>28</v>
      </c>
      <c r="K186" s="23" t="s">
        <v>37</v>
      </c>
      <c r="L186" s="23" t="s">
        <v>24</v>
      </c>
      <c r="M186" s="29">
        <v>45330</v>
      </c>
      <c r="N186" s="23">
        <v>1249.95</v>
      </c>
    </row>
    <row r="187" spans="1:14" x14ac:dyDescent="0.3">
      <c r="A187" s="23" t="s">
        <v>334</v>
      </c>
      <c r="B187" s="29">
        <v>45668</v>
      </c>
      <c r="C187" s="23" t="s">
        <v>140</v>
      </c>
      <c r="D187" s="23" t="s">
        <v>141</v>
      </c>
      <c r="E187" s="23" t="s">
        <v>54</v>
      </c>
      <c r="F187" s="23" t="s">
        <v>55</v>
      </c>
      <c r="G187" s="23" t="s">
        <v>21</v>
      </c>
      <c r="H187" s="23">
        <v>4</v>
      </c>
      <c r="I187" s="23">
        <v>149.99</v>
      </c>
      <c r="J187" s="23" t="s">
        <v>59</v>
      </c>
      <c r="K187" s="23" t="s">
        <v>65</v>
      </c>
      <c r="L187" s="23" t="s">
        <v>38</v>
      </c>
      <c r="M187" s="29">
        <v>44536</v>
      </c>
      <c r="N187" s="23">
        <v>599.96</v>
      </c>
    </row>
    <row r="188" spans="1:14" x14ac:dyDescent="0.3">
      <c r="A188" s="23" t="s">
        <v>335</v>
      </c>
      <c r="B188" s="29">
        <v>45668</v>
      </c>
      <c r="C188" s="23" t="s">
        <v>80</v>
      </c>
      <c r="D188" s="23" t="s">
        <v>81</v>
      </c>
      <c r="E188" s="23" t="s">
        <v>82</v>
      </c>
      <c r="F188" s="23" t="s">
        <v>83</v>
      </c>
      <c r="G188" s="23" t="s">
        <v>21</v>
      </c>
      <c r="H188" s="23">
        <v>3</v>
      </c>
      <c r="I188" s="23">
        <v>699.99</v>
      </c>
      <c r="J188" s="23" t="s">
        <v>22</v>
      </c>
      <c r="K188" s="23" t="s">
        <v>42</v>
      </c>
      <c r="L188" s="23" t="s">
        <v>29</v>
      </c>
      <c r="M188" s="29">
        <v>44602</v>
      </c>
      <c r="N188" s="23">
        <v>2099.9699999999998</v>
      </c>
    </row>
    <row r="189" spans="1:14" x14ac:dyDescent="0.3">
      <c r="A189" s="23" t="s">
        <v>336</v>
      </c>
      <c r="B189" s="29">
        <v>45670</v>
      </c>
      <c r="C189" s="23" t="s">
        <v>295</v>
      </c>
      <c r="D189" s="23" t="s">
        <v>296</v>
      </c>
      <c r="E189" s="23" t="s">
        <v>116</v>
      </c>
      <c r="F189" s="23" t="s">
        <v>117</v>
      </c>
      <c r="G189" s="23" t="s">
        <v>35</v>
      </c>
      <c r="H189" s="23">
        <v>1</v>
      </c>
      <c r="I189" s="23">
        <v>79.989999999999995</v>
      </c>
      <c r="J189" s="23" t="s">
        <v>28</v>
      </c>
      <c r="K189" s="23" t="s">
        <v>37</v>
      </c>
      <c r="L189" s="23" t="s">
        <v>24</v>
      </c>
      <c r="M189" s="29">
        <v>45322</v>
      </c>
      <c r="N189" s="23">
        <v>79.989999999999995</v>
      </c>
    </row>
    <row r="190" spans="1:14" x14ac:dyDescent="0.3">
      <c r="A190" s="23" t="s">
        <v>337</v>
      </c>
      <c r="B190" s="29">
        <v>45670</v>
      </c>
      <c r="C190" s="23" t="s">
        <v>88</v>
      </c>
      <c r="D190" s="23" t="s">
        <v>89</v>
      </c>
      <c r="E190" s="23" t="s">
        <v>107</v>
      </c>
      <c r="F190" s="23" t="s">
        <v>108</v>
      </c>
      <c r="G190" s="23" t="s">
        <v>48</v>
      </c>
      <c r="H190" s="23">
        <v>1</v>
      </c>
      <c r="I190" s="23">
        <v>299.99</v>
      </c>
      <c r="J190" s="23" t="s">
        <v>28</v>
      </c>
      <c r="K190" s="23" t="s">
        <v>42</v>
      </c>
      <c r="L190" s="23" t="s">
        <v>24</v>
      </c>
      <c r="M190" s="29">
        <v>44436</v>
      </c>
      <c r="N190" s="23">
        <v>299.99</v>
      </c>
    </row>
    <row r="191" spans="1:14" x14ac:dyDescent="0.3">
      <c r="A191" s="23" t="s">
        <v>338</v>
      </c>
      <c r="B191" s="29">
        <v>45671</v>
      </c>
      <c r="C191" s="23" t="s">
        <v>160</v>
      </c>
      <c r="D191" s="23" t="s">
        <v>161</v>
      </c>
      <c r="E191" s="23" t="s">
        <v>19</v>
      </c>
      <c r="F191" s="23" t="s">
        <v>20</v>
      </c>
      <c r="G191" s="23" t="s">
        <v>21</v>
      </c>
      <c r="H191" s="23">
        <v>4</v>
      </c>
      <c r="I191" s="23">
        <v>249.99</v>
      </c>
      <c r="J191" s="23" t="s">
        <v>28</v>
      </c>
      <c r="K191" s="23" t="s">
        <v>42</v>
      </c>
      <c r="L191" s="23" t="s">
        <v>29</v>
      </c>
      <c r="M191" s="29">
        <v>44460</v>
      </c>
      <c r="N191" s="23">
        <v>999.96</v>
      </c>
    </row>
    <row r="192" spans="1:14" x14ac:dyDescent="0.3">
      <c r="A192" s="23" t="s">
        <v>339</v>
      </c>
      <c r="B192" s="29">
        <v>45671</v>
      </c>
      <c r="C192" s="23" t="s">
        <v>122</v>
      </c>
      <c r="D192" s="23" t="s">
        <v>123</v>
      </c>
      <c r="E192" s="23" t="s">
        <v>54</v>
      </c>
      <c r="F192" s="23" t="s">
        <v>55</v>
      </c>
      <c r="G192" s="23" t="s">
        <v>21</v>
      </c>
      <c r="H192" s="23">
        <v>2</v>
      </c>
      <c r="I192" s="23">
        <v>149.99</v>
      </c>
      <c r="J192" s="23" t="s">
        <v>22</v>
      </c>
      <c r="K192" s="23" t="s">
        <v>42</v>
      </c>
      <c r="L192" s="23" t="s">
        <v>38</v>
      </c>
      <c r="M192" s="29">
        <v>44913</v>
      </c>
      <c r="N192" s="23">
        <v>299.98</v>
      </c>
    </row>
    <row r="193" spans="1:14" x14ac:dyDescent="0.3">
      <c r="A193" s="23" t="s">
        <v>340</v>
      </c>
      <c r="B193" s="29">
        <v>45671</v>
      </c>
      <c r="C193" s="23" t="s">
        <v>236</v>
      </c>
      <c r="D193" s="23" t="s">
        <v>237</v>
      </c>
      <c r="E193" s="23" t="s">
        <v>107</v>
      </c>
      <c r="F193" s="23" t="s">
        <v>108</v>
      </c>
      <c r="G193" s="23" t="s">
        <v>48</v>
      </c>
      <c r="H193" s="23">
        <v>3</v>
      </c>
      <c r="I193" s="23">
        <v>299.99</v>
      </c>
      <c r="J193" s="23" t="s">
        <v>28</v>
      </c>
      <c r="K193" s="23" t="s">
        <v>37</v>
      </c>
      <c r="L193" s="23" t="s">
        <v>24</v>
      </c>
      <c r="M193" s="29">
        <v>45204</v>
      </c>
      <c r="N193" s="23">
        <v>899.97</v>
      </c>
    </row>
    <row r="194" spans="1:14" x14ac:dyDescent="0.3">
      <c r="A194" s="23" t="s">
        <v>341</v>
      </c>
      <c r="B194" s="29">
        <v>45673</v>
      </c>
      <c r="C194" s="23" t="s">
        <v>228</v>
      </c>
      <c r="D194" s="23" t="s">
        <v>229</v>
      </c>
      <c r="E194" s="23" t="s">
        <v>128</v>
      </c>
      <c r="F194" s="23" t="s">
        <v>129</v>
      </c>
      <c r="G194" s="23" t="s">
        <v>48</v>
      </c>
      <c r="H194" s="23">
        <v>4</v>
      </c>
      <c r="I194" s="23">
        <v>199.99</v>
      </c>
      <c r="J194" s="23" t="s">
        <v>59</v>
      </c>
      <c r="K194" s="23" t="s">
        <v>37</v>
      </c>
      <c r="L194" s="23" t="s">
        <v>38</v>
      </c>
      <c r="M194" s="29">
        <v>44544</v>
      </c>
      <c r="N194" s="23">
        <v>799.96</v>
      </c>
    </row>
    <row r="195" spans="1:14" x14ac:dyDescent="0.3">
      <c r="A195" s="23" t="s">
        <v>342</v>
      </c>
      <c r="B195" s="29">
        <v>45673</v>
      </c>
      <c r="C195" s="23" t="s">
        <v>213</v>
      </c>
      <c r="D195" s="23" t="s">
        <v>214</v>
      </c>
      <c r="E195" s="23" t="s">
        <v>107</v>
      </c>
      <c r="F195" s="23" t="s">
        <v>108</v>
      </c>
      <c r="G195" s="23" t="s">
        <v>48</v>
      </c>
      <c r="H195" s="23">
        <v>5</v>
      </c>
      <c r="I195" s="23">
        <v>299.99</v>
      </c>
      <c r="J195" s="23" t="s">
        <v>59</v>
      </c>
      <c r="K195" s="23" t="s">
        <v>23</v>
      </c>
      <c r="L195" s="23" t="s">
        <v>24</v>
      </c>
      <c r="M195" s="29">
        <v>44431</v>
      </c>
      <c r="N195" s="23">
        <v>1499.95</v>
      </c>
    </row>
    <row r="196" spans="1:14" x14ac:dyDescent="0.3">
      <c r="A196" s="23" t="s">
        <v>343</v>
      </c>
      <c r="B196" s="29">
        <v>45673</v>
      </c>
      <c r="C196" s="23" t="s">
        <v>61</v>
      </c>
      <c r="D196" s="23" t="s">
        <v>62</v>
      </c>
      <c r="E196" s="23" t="s">
        <v>46</v>
      </c>
      <c r="F196" s="23" t="s">
        <v>47</v>
      </c>
      <c r="G196" s="23" t="s">
        <v>48</v>
      </c>
      <c r="H196" s="23">
        <v>3</v>
      </c>
      <c r="I196" s="23">
        <v>149.99</v>
      </c>
      <c r="J196" s="23" t="s">
        <v>28</v>
      </c>
      <c r="K196" s="23" t="s">
        <v>65</v>
      </c>
      <c r="L196" s="23" t="s">
        <v>38</v>
      </c>
      <c r="M196" s="29">
        <v>44395</v>
      </c>
      <c r="N196" s="23">
        <v>449.97</v>
      </c>
    </row>
    <row r="197" spans="1:14" x14ac:dyDescent="0.3">
      <c r="A197" s="23" t="s">
        <v>344</v>
      </c>
      <c r="B197" s="29">
        <v>45676</v>
      </c>
      <c r="C197" s="23" t="s">
        <v>131</v>
      </c>
      <c r="D197" s="23" t="s">
        <v>132</v>
      </c>
      <c r="E197" s="23" t="s">
        <v>33</v>
      </c>
      <c r="F197" s="23" t="s">
        <v>34</v>
      </c>
      <c r="G197" s="23" t="s">
        <v>35</v>
      </c>
      <c r="H197" s="23">
        <v>5</v>
      </c>
      <c r="I197" s="23">
        <v>59.99</v>
      </c>
      <c r="J197" s="23" t="s">
        <v>59</v>
      </c>
      <c r="K197" s="23" t="s">
        <v>65</v>
      </c>
      <c r="L197" s="23" t="s">
        <v>24</v>
      </c>
      <c r="M197" s="29">
        <v>44642</v>
      </c>
      <c r="N197" s="23">
        <v>299.95</v>
      </c>
    </row>
    <row r="198" spans="1:14" x14ac:dyDescent="0.3">
      <c r="A198" s="23" t="s">
        <v>345</v>
      </c>
      <c r="B198" s="29">
        <v>45682</v>
      </c>
      <c r="C198" s="23" t="s">
        <v>70</v>
      </c>
      <c r="D198" s="23" t="s">
        <v>71</v>
      </c>
      <c r="E198" s="23" t="s">
        <v>33</v>
      </c>
      <c r="F198" s="23" t="s">
        <v>34</v>
      </c>
      <c r="G198" s="23" t="s">
        <v>35</v>
      </c>
      <c r="H198" s="23">
        <v>4</v>
      </c>
      <c r="I198" s="23">
        <v>59.99</v>
      </c>
      <c r="J198" s="23" t="s">
        <v>59</v>
      </c>
      <c r="K198" s="23" t="s">
        <v>65</v>
      </c>
      <c r="L198" s="23" t="s">
        <v>38</v>
      </c>
      <c r="M198" s="29">
        <v>44564</v>
      </c>
      <c r="N198" s="23">
        <v>239.96</v>
      </c>
    </row>
    <row r="199" spans="1:14" x14ac:dyDescent="0.3">
      <c r="A199" s="23" t="s">
        <v>346</v>
      </c>
      <c r="B199" s="29">
        <v>45683</v>
      </c>
      <c r="C199" s="23" t="s">
        <v>50</v>
      </c>
      <c r="D199" s="23" t="s">
        <v>51</v>
      </c>
      <c r="E199" s="23" t="s">
        <v>19</v>
      </c>
      <c r="F199" s="23" t="s">
        <v>20</v>
      </c>
      <c r="G199" s="23" t="s">
        <v>21</v>
      </c>
      <c r="H199" s="23">
        <v>4</v>
      </c>
      <c r="I199" s="23">
        <v>249.99</v>
      </c>
      <c r="J199" s="23" t="s">
        <v>59</v>
      </c>
      <c r="K199" s="23" t="s">
        <v>23</v>
      </c>
      <c r="L199" s="23" t="s">
        <v>29</v>
      </c>
      <c r="M199" s="29">
        <v>45217</v>
      </c>
      <c r="N199" s="23">
        <v>999.96</v>
      </c>
    </row>
    <row r="200" spans="1:14" x14ac:dyDescent="0.3">
      <c r="A200" s="23" t="s">
        <v>347</v>
      </c>
      <c r="B200" s="29">
        <v>45686</v>
      </c>
      <c r="C200" s="23" t="s">
        <v>254</v>
      </c>
      <c r="D200" s="23" t="s">
        <v>255</v>
      </c>
      <c r="E200" s="23" t="s">
        <v>63</v>
      </c>
      <c r="F200" s="23" t="s">
        <v>64</v>
      </c>
      <c r="G200" s="23" t="s">
        <v>21</v>
      </c>
      <c r="H200" s="23">
        <v>4</v>
      </c>
      <c r="I200" s="23">
        <v>899.99</v>
      </c>
      <c r="J200" s="23" t="s">
        <v>36</v>
      </c>
      <c r="K200" s="23" t="s">
        <v>23</v>
      </c>
      <c r="L200" s="23" t="s">
        <v>24</v>
      </c>
      <c r="M200" s="29">
        <v>44734</v>
      </c>
      <c r="N200" s="23">
        <v>3599.96</v>
      </c>
    </row>
    <row r="201" spans="1:14" x14ac:dyDescent="0.3">
      <c r="A201" s="23" t="s">
        <v>348</v>
      </c>
      <c r="B201" s="29">
        <v>45686</v>
      </c>
      <c r="C201" s="23" t="s">
        <v>88</v>
      </c>
      <c r="D201" s="23" t="s">
        <v>89</v>
      </c>
      <c r="E201" s="23" t="s">
        <v>107</v>
      </c>
      <c r="F201" s="23" t="s">
        <v>108</v>
      </c>
      <c r="G201" s="23" t="s">
        <v>48</v>
      </c>
      <c r="H201" s="23">
        <v>3</v>
      </c>
      <c r="I201" s="23">
        <v>299.99</v>
      </c>
      <c r="J201" s="23" t="s">
        <v>59</v>
      </c>
      <c r="K201" s="23" t="s">
        <v>52</v>
      </c>
      <c r="L201" s="23" t="s">
        <v>38</v>
      </c>
      <c r="M201" s="29">
        <v>44952</v>
      </c>
      <c r="N201" s="23">
        <v>899.97</v>
      </c>
    </row>
    <row r="202" spans="1:14" x14ac:dyDescent="0.3">
      <c r="A202" s="23" t="s">
        <v>349</v>
      </c>
      <c r="B202" s="29">
        <v>45686</v>
      </c>
      <c r="C202" s="23" t="s">
        <v>295</v>
      </c>
      <c r="D202" s="23" t="s">
        <v>296</v>
      </c>
      <c r="E202" s="23" t="s">
        <v>82</v>
      </c>
      <c r="F202" s="23" t="s">
        <v>83</v>
      </c>
      <c r="G202" s="23" t="s">
        <v>21</v>
      </c>
      <c r="H202" s="23">
        <v>2</v>
      </c>
      <c r="I202" s="23">
        <v>699.99</v>
      </c>
      <c r="J202" s="23" t="s">
        <v>59</v>
      </c>
      <c r="K202" s="23" t="s">
        <v>23</v>
      </c>
      <c r="L202" s="23" t="s">
        <v>29</v>
      </c>
      <c r="M202" s="29">
        <v>44681</v>
      </c>
      <c r="N202" s="23">
        <v>1399.98</v>
      </c>
    </row>
    <row r="203" spans="1:14" x14ac:dyDescent="0.3">
      <c r="A203" s="23" t="s">
        <v>350</v>
      </c>
      <c r="B203" s="29">
        <v>45688</v>
      </c>
      <c r="C203" s="23" t="s">
        <v>67</v>
      </c>
      <c r="D203" s="23" t="s">
        <v>68</v>
      </c>
      <c r="E203" s="23" t="s">
        <v>82</v>
      </c>
      <c r="F203" s="23" t="s">
        <v>83</v>
      </c>
      <c r="G203" s="23" t="s">
        <v>21</v>
      </c>
      <c r="H203" s="23">
        <v>4</v>
      </c>
      <c r="I203" s="23">
        <v>699.99</v>
      </c>
      <c r="J203" s="23" t="s">
        <v>59</v>
      </c>
      <c r="K203" s="23" t="s">
        <v>52</v>
      </c>
      <c r="L203" s="23" t="s">
        <v>29</v>
      </c>
      <c r="M203" s="29">
        <v>44692</v>
      </c>
      <c r="N203" s="23">
        <v>2799.96</v>
      </c>
    </row>
    <row r="204" spans="1:14" x14ac:dyDescent="0.3">
      <c r="A204" s="23" t="s">
        <v>351</v>
      </c>
      <c r="B204" s="29">
        <v>45688</v>
      </c>
      <c r="C204" s="23" t="s">
        <v>125</v>
      </c>
      <c r="D204" s="23" t="s">
        <v>126</v>
      </c>
      <c r="E204" s="23" t="s">
        <v>119</v>
      </c>
      <c r="F204" s="23" t="s">
        <v>120</v>
      </c>
      <c r="G204" s="23" t="s">
        <v>21</v>
      </c>
      <c r="H204" s="23">
        <v>2</v>
      </c>
      <c r="I204" s="23">
        <v>89.99</v>
      </c>
      <c r="J204" s="23" t="s">
        <v>59</v>
      </c>
      <c r="K204" s="23" t="s">
        <v>37</v>
      </c>
      <c r="L204" s="23" t="s">
        <v>24</v>
      </c>
      <c r="M204" s="29">
        <v>44777</v>
      </c>
      <c r="N204" s="23">
        <v>179.98</v>
      </c>
    </row>
    <row r="205" spans="1:14" x14ac:dyDescent="0.3">
      <c r="A205" s="23" t="s">
        <v>352</v>
      </c>
      <c r="B205" s="29">
        <v>45688</v>
      </c>
      <c r="C205" s="23" t="s">
        <v>44</v>
      </c>
      <c r="D205" s="23" t="s">
        <v>45</v>
      </c>
      <c r="E205" s="23" t="s">
        <v>119</v>
      </c>
      <c r="F205" s="23" t="s">
        <v>120</v>
      </c>
      <c r="G205" s="23" t="s">
        <v>21</v>
      </c>
      <c r="H205" s="23">
        <v>3</v>
      </c>
      <c r="I205" s="23">
        <v>89.99</v>
      </c>
      <c r="J205" s="23" t="s">
        <v>59</v>
      </c>
      <c r="K205" s="23" t="s">
        <v>37</v>
      </c>
      <c r="L205" s="23" t="s">
        <v>29</v>
      </c>
      <c r="M205" s="29">
        <v>45307</v>
      </c>
      <c r="N205" s="23">
        <v>269.97000000000003</v>
      </c>
    </row>
    <row r="206" spans="1:14" x14ac:dyDescent="0.3">
      <c r="A206" s="23" t="s">
        <v>353</v>
      </c>
      <c r="B206" s="29">
        <v>45692</v>
      </c>
      <c r="C206" s="23" t="s">
        <v>327</v>
      </c>
      <c r="D206" s="23" t="s">
        <v>328</v>
      </c>
      <c r="E206" s="23" t="s">
        <v>33</v>
      </c>
      <c r="F206" s="23" t="s">
        <v>34</v>
      </c>
      <c r="G206" s="23" t="s">
        <v>35</v>
      </c>
      <c r="H206" s="23">
        <v>1</v>
      </c>
      <c r="I206" s="23">
        <v>59.99</v>
      </c>
      <c r="J206" s="23" t="s">
        <v>59</v>
      </c>
      <c r="K206" s="23" t="s">
        <v>23</v>
      </c>
      <c r="L206" s="23" t="s">
        <v>38</v>
      </c>
      <c r="M206" s="29">
        <v>45045</v>
      </c>
      <c r="N206" s="23">
        <v>59.99</v>
      </c>
    </row>
    <row r="207" spans="1:14" x14ac:dyDescent="0.3">
      <c r="A207" s="23" t="s">
        <v>354</v>
      </c>
      <c r="B207" s="29">
        <v>45695</v>
      </c>
      <c r="C207" s="23" t="s">
        <v>248</v>
      </c>
      <c r="D207" s="23" t="s">
        <v>249</v>
      </c>
      <c r="E207" s="23" t="s">
        <v>46</v>
      </c>
      <c r="F207" s="23" t="s">
        <v>47</v>
      </c>
      <c r="G207" s="23" t="s">
        <v>48</v>
      </c>
      <c r="H207" s="23">
        <v>3</v>
      </c>
      <c r="I207" s="23">
        <v>149.99</v>
      </c>
      <c r="J207" s="23" t="s">
        <v>59</v>
      </c>
      <c r="K207" s="23" t="s">
        <v>42</v>
      </c>
      <c r="L207" s="23" t="s">
        <v>29</v>
      </c>
      <c r="M207" s="29">
        <v>44564</v>
      </c>
      <c r="N207" s="23">
        <v>449.97</v>
      </c>
    </row>
    <row r="208" spans="1:14" x14ac:dyDescent="0.3">
      <c r="A208" s="23" t="s">
        <v>355</v>
      </c>
      <c r="B208" s="29">
        <v>45695</v>
      </c>
      <c r="C208" s="23" t="s">
        <v>95</v>
      </c>
      <c r="D208" s="23" t="s">
        <v>96</v>
      </c>
      <c r="E208" s="23" t="s">
        <v>107</v>
      </c>
      <c r="F208" s="23" t="s">
        <v>108</v>
      </c>
      <c r="G208" s="23" t="s">
        <v>48</v>
      </c>
      <c r="H208" s="23">
        <v>5</v>
      </c>
      <c r="I208" s="23">
        <v>299.99</v>
      </c>
      <c r="J208" s="23" t="s">
        <v>28</v>
      </c>
      <c r="K208" s="23" t="s">
        <v>37</v>
      </c>
      <c r="L208" s="23" t="s">
        <v>24</v>
      </c>
      <c r="M208" s="29">
        <v>44959</v>
      </c>
      <c r="N208" s="23">
        <v>1499.95</v>
      </c>
    </row>
    <row r="209" spans="1:14" x14ac:dyDescent="0.3">
      <c r="A209" s="23" t="s">
        <v>356</v>
      </c>
      <c r="B209" s="29">
        <v>45696</v>
      </c>
      <c r="C209" s="23" t="s">
        <v>152</v>
      </c>
      <c r="D209" s="23" t="s">
        <v>153</v>
      </c>
      <c r="E209" s="23" t="s">
        <v>33</v>
      </c>
      <c r="F209" s="23" t="s">
        <v>34</v>
      </c>
      <c r="G209" s="23" t="s">
        <v>35</v>
      </c>
      <c r="H209" s="23">
        <v>5</v>
      </c>
      <c r="I209" s="23">
        <v>59.99</v>
      </c>
      <c r="J209" s="23" t="s">
        <v>59</v>
      </c>
      <c r="K209" s="23" t="s">
        <v>23</v>
      </c>
      <c r="L209" s="23" t="s">
        <v>38</v>
      </c>
      <c r="M209" s="29">
        <v>45177</v>
      </c>
      <c r="N209" s="23">
        <v>299.95</v>
      </c>
    </row>
    <row r="210" spans="1:14" x14ac:dyDescent="0.3">
      <c r="A210" s="23" t="s">
        <v>357</v>
      </c>
      <c r="B210" s="29">
        <v>45701</v>
      </c>
      <c r="C210" s="23" t="s">
        <v>110</v>
      </c>
      <c r="D210" s="23" t="s">
        <v>111</v>
      </c>
      <c r="E210" s="23" t="s">
        <v>116</v>
      </c>
      <c r="F210" s="23" t="s">
        <v>117</v>
      </c>
      <c r="G210" s="23" t="s">
        <v>35</v>
      </c>
      <c r="H210" s="23">
        <v>3</v>
      </c>
      <c r="I210" s="23">
        <v>79.989999999999995</v>
      </c>
      <c r="J210" s="23" t="s">
        <v>22</v>
      </c>
      <c r="K210" s="23" t="s">
        <v>65</v>
      </c>
      <c r="L210" s="23" t="s">
        <v>29</v>
      </c>
      <c r="M210" s="29">
        <v>44436</v>
      </c>
      <c r="N210" s="23">
        <v>239.97</v>
      </c>
    </row>
    <row r="211" spans="1:14" x14ac:dyDescent="0.3">
      <c r="A211" s="23" t="s">
        <v>358</v>
      </c>
      <c r="B211" s="29">
        <v>45704</v>
      </c>
      <c r="C211" s="23" t="s">
        <v>31</v>
      </c>
      <c r="D211" s="23" t="s">
        <v>32</v>
      </c>
      <c r="E211" s="23" t="s">
        <v>128</v>
      </c>
      <c r="F211" s="23" t="s">
        <v>129</v>
      </c>
      <c r="G211" s="23" t="s">
        <v>48</v>
      </c>
      <c r="H211" s="23">
        <v>3</v>
      </c>
      <c r="I211" s="23">
        <v>199.99</v>
      </c>
      <c r="J211" s="23" t="s">
        <v>22</v>
      </c>
      <c r="K211" s="23" t="s">
        <v>23</v>
      </c>
      <c r="L211" s="23" t="s">
        <v>24</v>
      </c>
      <c r="M211" s="29">
        <v>44735</v>
      </c>
      <c r="N211" s="23">
        <v>599.97</v>
      </c>
    </row>
    <row r="212" spans="1:14" x14ac:dyDescent="0.3">
      <c r="A212" s="23" t="s">
        <v>359</v>
      </c>
      <c r="B212" s="29">
        <v>45704</v>
      </c>
      <c r="C212" s="23" t="s">
        <v>17</v>
      </c>
      <c r="D212" s="23" t="s">
        <v>18</v>
      </c>
      <c r="E212" s="23" t="s">
        <v>119</v>
      </c>
      <c r="F212" s="23" t="s">
        <v>120</v>
      </c>
      <c r="G212" s="23" t="s">
        <v>21</v>
      </c>
      <c r="H212" s="23">
        <v>2</v>
      </c>
      <c r="I212" s="23">
        <v>89.99</v>
      </c>
      <c r="J212" s="23" t="s">
        <v>36</v>
      </c>
      <c r="K212" s="23" t="s">
        <v>23</v>
      </c>
      <c r="L212" s="23" t="s">
        <v>24</v>
      </c>
      <c r="M212" s="29">
        <v>45257</v>
      </c>
      <c r="N212" s="23">
        <v>179.98</v>
      </c>
    </row>
    <row r="213" spans="1:14" x14ac:dyDescent="0.3">
      <c r="A213" s="23" t="s">
        <v>360</v>
      </c>
      <c r="B213" s="29">
        <v>45705</v>
      </c>
      <c r="C213" s="23" t="s">
        <v>261</v>
      </c>
      <c r="D213" s="23" t="s">
        <v>262</v>
      </c>
      <c r="E213" s="23" t="s">
        <v>46</v>
      </c>
      <c r="F213" s="23" t="s">
        <v>47</v>
      </c>
      <c r="G213" s="23" t="s">
        <v>48</v>
      </c>
      <c r="H213" s="23">
        <v>2</v>
      </c>
      <c r="I213" s="23">
        <v>149.99</v>
      </c>
      <c r="J213" s="23" t="s">
        <v>22</v>
      </c>
      <c r="K213" s="23" t="s">
        <v>37</v>
      </c>
      <c r="L213" s="23" t="s">
        <v>29</v>
      </c>
      <c r="M213" s="29">
        <v>44728</v>
      </c>
      <c r="N213" s="23">
        <v>299.98</v>
      </c>
    </row>
    <row r="214" spans="1:14" x14ac:dyDescent="0.3">
      <c r="A214" s="23" t="s">
        <v>361</v>
      </c>
      <c r="B214" s="29">
        <v>45707</v>
      </c>
      <c r="C214" s="23" t="s">
        <v>125</v>
      </c>
      <c r="D214" s="23" t="s">
        <v>126</v>
      </c>
      <c r="E214" s="23" t="s">
        <v>82</v>
      </c>
      <c r="F214" s="23" t="s">
        <v>83</v>
      </c>
      <c r="G214" s="23" t="s">
        <v>21</v>
      </c>
      <c r="H214" s="23">
        <v>5</v>
      </c>
      <c r="I214" s="23">
        <v>699.99</v>
      </c>
      <c r="J214" s="23" t="s">
        <v>36</v>
      </c>
      <c r="K214" s="23" t="s">
        <v>37</v>
      </c>
      <c r="L214" s="23" t="s">
        <v>29</v>
      </c>
      <c r="M214" s="29">
        <v>45352</v>
      </c>
      <c r="N214" s="23">
        <v>3499.95</v>
      </c>
    </row>
    <row r="215" spans="1:14" x14ac:dyDescent="0.3">
      <c r="A215" s="23" t="s">
        <v>362</v>
      </c>
      <c r="B215" s="29">
        <v>45707</v>
      </c>
      <c r="C215" s="23" t="s">
        <v>44</v>
      </c>
      <c r="D215" s="23" t="s">
        <v>45</v>
      </c>
      <c r="E215" s="23" t="s">
        <v>46</v>
      </c>
      <c r="F215" s="23" t="s">
        <v>47</v>
      </c>
      <c r="G215" s="23" t="s">
        <v>48</v>
      </c>
      <c r="H215" s="23">
        <v>3</v>
      </c>
      <c r="I215" s="23">
        <v>149.99</v>
      </c>
      <c r="J215" s="23" t="s">
        <v>36</v>
      </c>
      <c r="K215" s="23" t="s">
        <v>23</v>
      </c>
      <c r="L215" s="23" t="s">
        <v>38</v>
      </c>
      <c r="M215" s="29">
        <v>44633</v>
      </c>
      <c r="N215" s="23">
        <v>449.97</v>
      </c>
    </row>
    <row r="216" spans="1:14" x14ac:dyDescent="0.3">
      <c r="A216" s="23" t="s">
        <v>363</v>
      </c>
      <c r="B216" s="29">
        <v>45708</v>
      </c>
      <c r="C216" s="23" t="s">
        <v>98</v>
      </c>
      <c r="D216" s="23" t="s">
        <v>99</v>
      </c>
      <c r="E216" s="23" t="s">
        <v>63</v>
      </c>
      <c r="F216" s="23" t="s">
        <v>64</v>
      </c>
      <c r="G216" s="23" t="s">
        <v>21</v>
      </c>
      <c r="H216" s="23">
        <v>3</v>
      </c>
      <c r="I216" s="23">
        <v>899.99</v>
      </c>
      <c r="J216" s="23" t="s">
        <v>22</v>
      </c>
      <c r="K216" s="23" t="s">
        <v>65</v>
      </c>
      <c r="L216" s="23" t="s">
        <v>38</v>
      </c>
      <c r="M216" s="29">
        <v>44613</v>
      </c>
      <c r="N216" s="23">
        <v>2699.97</v>
      </c>
    </row>
    <row r="217" spans="1:14" x14ac:dyDescent="0.3">
      <c r="A217" s="23" t="s">
        <v>364</v>
      </c>
      <c r="B217" s="29">
        <v>45708</v>
      </c>
      <c r="C217" s="23" t="s">
        <v>194</v>
      </c>
      <c r="D217" s="23" t="s">
        <v>195</v>
      </c>
      <c r="E217" s="23" t="s">
        <v>128</v>
      </c>
      <c r="F217" s="23" t="s">
        <v>129</v>
      </c>
      <c r="G217" s="23" t="s">
        <v>48</v>
      </c>
      <c r="H217" s="23">
        <v>3</v>
      </c>
      <c r="I217" s="23">
        <v>199.99</v>
      </c>
      <c r="J217" s="23" t="s">
        <v>22</v>
      </c>
      <c r="K217" s="23" t="s">
        <v>52</v>
      </c>
      <c r="L217" s="23" t="s">
        <v>29</v>
      </c>
      <c r="M217" s="29">
        <v>44823</v>
      </c>
      <c r="N217" s="23">
        <v>599.97</v>
      </c>
    </row>
    <row r="218" spans="1:14" x14ac:dyDescent="0.3">
      <c r="A218" s="23" t="s">
        <v>365</v>
      </c>
      <c r="B218" s="29">
        <v>45710</v>
      </c>
      <c r="C218" s="23" t="s">
        <v>57</v>
      </c>
      <c r="D218" s="23" t="s">
        <v>58</v>
      </c>
      <c r="E218" s="23" t="s">
        <v>107</v>
      </c>
      <c r="F218" s="23" t="s">
        <v>108</v>
      </c>
      <c r="G218" s="23" t="s">
        <v>48</v>
      </c>
      <c r="H218" s="23">
        <v>5</v>
      </c>
      <c r="I218" s="23">
        <v>299.99</v>
      </c>
      <c r="J218" s="23" t="s">
        <v>22</v>
      </c>
      <c r="K218" s="23" t="s">
        <v>52</v>
      </c>
      <c r="L218" s="23" t="s">
        <v>38</v>
      </c>
      <c r="M218" s="29">
        <v>45142</v>
      </c>
      <c r="N218" s="23">
        <v>1499.95</v>
      </c>
    </row>
    <row r="219" spans="1:14" x14ac:dyDescent="0.3">
      <c r="A219" s="23" t="s">
        <v>366</v>
      </c>
      <c r="B219" s="29">
        <v>45710</v>
      </c>
      <c r="C219" s="23" t="s">
        <v>152</v>
      </c>
      <c r="D219" s="23" t="s">
        <v>153</v>
      </c>
      <c r="E219" s="23" t="s">
        <v>82</v>
      </c>
      <c r="F219" s="23" t="s">
        <v>83</v>
      </c>
      <c r="G219" s="23" t="s">
        <v>21</v>
      </c>
      <c r="H219" s="23">
        <v>1</v>
      </c>
      <c r="I219" s="23">
        <v>699.99</v>
      </c>
      <c r="J219" s="23" t="s">
        <v>36</v>
      </c>
      <c r="K219" s="23" t="s">
        <v>52</v>
      </c>
      <c r="L219" s="23" t="s">
        <v>24</v>
      </c>
      <c r="M219" s="29">
        <v>44934</v>
      </c>
      <c r="N219" s="23">
        <v>699.99</v>
      </c>
    </row>
    <row r="220" spans="1:14" x14ac:dyDescent="0.3">
      <c r="A220" s="23" t="s">
        <v>367</v>
      </c>
      <c r="B220" s="29">
        <v>45711</v>
      </c>
      <c r="C220" s="23" t="s">
        <v>248</v>
      </c>
      <c r="D220" s="23" t="s">
        <v>249</v>
      </c>
      <c r="E220" s="23" t="s">
        <v>82</v>
      </c>
      <c r="F220" s="23" t="s">
        <v>83</v>
      </c>
      <c r="G220" s="23" t="s">
        <v>21</v>
      </c>
      <c r="H220" s="23">
        <v>1</v>
      </c>
      <c r="I220" s="23">
        <v>699.99</v>
      </c>
      <c r="J220" s="23" t="s">
        <v>22</v>
      </c>
      <c r="K220" s="23" t="s">
        <v>42</v>
      </c>
      <c r="L220" s="23" t="s">
        <v>29</v>
      </c>
      <c r="M220" s="29">
        <v>44583</v>
      </c>
      <c r="N220" s="23">
        <v>699.99</v>
      </c>
    </row>
    <row r="221" spans="1:14" x14ac:dyDescent="0.3">
      <c r="A221" s="23" t="s">
        <v>368</v>
      </c>
      <c r="B221" s="29">
        <v>45711</v>
      </c>
      <c r="C221" s="23" t="s">
        <v>327</v>
      </c>
      <c r="D221" s="23" t="s">
        <v>328</v>
      </c>
      <c r="E221" s="23" t="s">
        <v>46</v>
      </c>
      <c r="F221" s="23" t="s">
        <v>47</v>
      </c>
      <c r="G221" s="23" t="s">
        <v>48</v>
      </c>
      <c r="H221" s="23">
        <v>4</v>
      </c>
      <c r="I221" s="23">
        <v>149.99</v>
      </c>
      <c r="J221" s="23" t="s">
        <v>36</v>
      </c>
      <c r="K221" s="23" t="s">
        <v>42</v>
      </c>
      <c r="L221" s="23" t="s">
        <v>29</v>
      </c>
      <c r="M221" s="29">
        <v>44412</v>
      </c>
      <c r="N221" s="23">
        <v>599.96</v>
      </c>
    </row>
    <row r="222" spans="1:14" x14ac:dyDescent="0.3">
      <c r="A222" s="23" t="s">
        <v>369</v>
      </c>
      <c r="B222" s="29">
        <v>45711</v>
      </c>
      <c r="C222" s="23" t="s">
        <v>213</v>
      </c>
      <c r="D222" s="23" t="s">
        <v>214</v>
      </c>
      <c r="E222" s="23" t="s">
        <v>119</v>
      </c>
      <c r="F222" s="23" t="s">
        <v>120</v>
      </c>
      <c r="G222" s="23" t="s">
        <v>21</v>
      </c>
      <c r="H222" s="23">
        <v>5</v>
      </c>
      <c r="I222" s="23">
        <v>89.99</v>
      </c>
      <c r="J222" s="23" t="s">
        <v>36</v>
      </c>
      <c r="K222" s="23" t="s">
        <v>52</v>
      </c>
      <c r="L222" s="23" t="s">
        <v>29</v>
      </c>
      <c r="M222" s="29">
        <v>45140</v>
      </c>
      <c r="N222" s="23">
        <v>449.95</v>
      </c>
    </row>
    <row r="223" spans="1:14" x14ac:dyDescent="0.3">
      <c r="A223" s="23" t="s">
        <v>370</v>
      </c>
      <c r="B223" s="29">
        <v>45712</v>
      </c>
      <c r="C223" s="23" t="s">
        <v>140</v>
      </c>
      <c r="D223" s="23" t="s">
        <v>141</v>
      </c>
      <c r="E223" s="23" t="s">
        <v>128</v>
      </c>
      <c r="F223" s="23" t="s">
        <v>129</v>
      </c>
      <c r="G223" s="23" t="s">
        <v>48</v>
      </c>
      <c r="H223" s="23">
        <v>2</v>
      </c>
      <c r="I223" s="23">
        <v>199.99</v>
      </c>
      <c r="J223" s="23" t="s">
        <v>22</v>
      </c>
      <c r="K223" s="23" t="s">
        <v>23</v>
      </c>
      <c r="L223" s="23" t="s">
        <v>29</v>
      </c>
      <c r="M223" s="29">
        <v>44573</v>
      </c>
      <c r="N223" s="23">
        <v>399.98</v>
      </c>
    </row>
    <row r="224" spans="1:14" x14ac:dyDescent="0.3">
      <c r="A224" s="23" t="s">
        <v>371</v>
      </c>
      <c r="B224" s="29">
        <v>45715</v>
      </c>
      <c r="C224" s="23" t="s">
        <v>261</v>
      </c>
      <c r="D224" s="23" t="s">
        <v>262</v>
      </c>
      <c r="E224" s="23" t="s">
        <v>33</v>
      </c>
      <c r="F224" s="23" t="s">
        <v>34</v>
      </c>
      <c r="G224" s="23" t="s">
        <v>35</v>
      </c>
      <c r="H224" s="23">
        <v>4</v>
      </c>
      <c r="I224" s="23">
        <v>59.99</v>
      </c>
      <c r="J224" s="23" t="s">
        <v>22</v>
      </c>
      <c r="K224" s="23" t="s">
        <v>52</v>
      </c>
      <c r="L224" s="23" t="s">
        <v>38</v>
      </c>
      <c r="M224" s="29">
        <v>45070</v>
      </c>
      <c r="N224" s="23">
        <v>239.96</v>
      </c>
    </row>
    <row r="225" spans="1:14" x14ac:dyDescent="0.3">
      <c r="A225" s="23" t="s">
        <v>372</v>
      </c>
      <c r="B225" s="29">
        <v>45715</v>
      </c>
      <c r="C225" s="23" t="s">
        <v>95</v>
      </c>
      <c r="D225" s="23" t="s">
        <v>96</v>
      </c>
      <c r="E225" s="23" t="s">
        <v>107</v>
      </c>
      <c r="F225" s="23" t="s">
        <v>108</v>
      </c>
      <c r="G225" s="23" t="s">
        <v>48</v>
      </c>
      <c r="H225" s="23">
        <v>2</v>
      </c>
      <c r="I225" s="23">
        <v>299.99</v>
      </c>
      <c r="J225" s="23" t="s">
        <v>36</v>
      </c>
      <c r="K225" s="23" t="s">
        <v>37</v>
      </c>
      <c r="L225" s="23" t="s">
        <v>24</v>
      </c>
      <c r="M225" s="29">
        <v>44576</v>
      </c>
      <c r="N225" s="23">
        <v>599.98</v>
      </c>
    </row>
    <row r="226" spans="1:14" x14ac:dyDescent="0.3">
      <c r="A226" s="23" t="s">
        <v>373</v>
      </c>
      <c r="B226" s="29">
        <v>45718</v>
      </c>
      <c r="C226" s="23" t="s">
        <v>57</v>
      </c>
      <c r="D226" s="23" t="s">
        <v>58</v>
      </c>
      <c r="E226" s="23" t="s">
        <v>46</v>
      </c>
      <c r="F226" s="23" t="s">
        <v>47</v>
      </c>
      <c r="G226" s="23" t="s">
        <v>48</v>
      </c>
      <c r="H226" s="23">
        <v>2</v>
      </c>
      <c r="I226" s="23">
        <v>149.99</v>
      </c>
      <c r="J226" s="23" t="s">
        <v>22</v>
      </c>
      <c r="K226" s="23" t="s">
        <v>23</v>
      </c>
      <c r="L226" s="23" t="s">
        <v>24</v>
      </c>
      <c r="M226" s="29">
        <v>45068</v>
      </c>
      <c r="N226" s="23">
        <v>299.98</v>
      </c>
    </row>
    <row r="227" spans="1:14" x14ac:dyDescent="0.3">
      <c r="A227" s="23" t="s">
        <v>374</v>
      </c>
      <c r="B227" s="29">
        <v>45720</v>
      </c>
      <c r="C227" s="23" t="s">
        <v>228</v>
      </c>
      <c r="D227" s="23" t="s">
        <v>229</v>
      </c>
      <c r="E227" s="23" t="s">
        <v>82</v>
      </c>
      <c r="F227" s="23" t="s">
        <v>83</v>
      </c>
      <c r="G227" s="23" t="s">
        <v>21</v>
      </c>
      <c r="H227" s="23">
        <v>5</v>
      </c>
      <c r="I227" s="23">
        <v>699.99</v>
      </c>
      <c r="J227" s="23" t="s">
        <v>59</v>
      </c>
      <c r="K227" s="23" t="s">
        <v>65</v>
      </c>
      <c r="L227" s="23" t="s">
        <v>29</v>
      </c>
      <c r="M227" s="29">
        <v>45161</v>
      </c>
      <c r="N227" s="23">
        <v>3499.95</v>
      </c>
    </row>
    <row r="228" spans="1:14" x14ac:dyDescent="0.3">
      <c r="A228" s="23" t="s">
        <v>375</v>
      </c>
      <c r="B228" s="29">
        <v>45721</v>
      </c>
      <c r="C228" s="23" t="s">
        <v>77</v>
      </c>
      <c r="D228" s="23" t="s">
        <v>78</v>
      </c>
      <c r="E228" s="23" t="s">
        <v>33</v>
      </c>
      <c r="F228" s="23" t="s">
        <v>34</v>
      </c>
      <c r="G228" s="23" t="s">
        <v>35</v>
      </c>
      <c r="H228" s="23">
        <v>5</v>
      </c>
      <c r="I228" s="23">
        <v>59.99</v>
      </c>
      <c r="J228" s="23" t="s">
        <v>22</v>
      </c>
      <c r="K228" s="23" t="s">
        <v>52</v>
      </c>
      <c r="L228" s="23" t="s">
        <v>29</v>
      </c>
      <c r="M228" s="29">
        <v>45291</v>
      </c>
      <c r="N228" s="23">
        <v>299.95</v>
      </c>
    </row>
    <row r="229" spans="1:14" x14ac:dyDescent="0.3">
      <c r="A229" s="23" t="s">
        <v>376</v>
      </c>
      <c r="B229" s="29">
        <v>45723</v>
      </c>
      <c r="C229" s="23" t="s">
        <v>17</v>
      </c>
      <c r="D229" s="23" t="s">
        <v>18</v>
      </c>
      <c r="E229" s="23" t="s">
        <v>119</v>
      </c>
      <c r="F229" s="23" t="s">
        <v>120</v>
      </c>
      <c r="G229" s="23" t="s">
        <v>21</v>
      </c>
      <c r="H229" s="23">
        <v>2</v>
      </c>
      <c r="I229" s="23">
        <v>89.99</v>
      </c>
      <c r="J229" s="23" t="s">
        <v>28</v>
      </c>
      <c r="K229" s="23" t="s">
        <v>52</v>
      </c>
      <c r="L229" s="23" t="s">
        <v>29</v>
      </c>
      <c r="M229" s="29">
        <v>45295</v>
      </c>
      <c r="N229" s="23">
        <v>179.98</v>
      </c>
    </row>
    <row r="230" spans="1:14" x14ac:dyDescent="0.3">
      <c r="A230" s="23" t="s">
        <v>377</v>
      </c>
      <c r="B230" s="29">
        <v>45723</v>
      </c>
      <c r="C230" s="23" t="s">
        <v>122</v>
      </c>
      <c r="D230" s="23" t="s">
        <v>123</v>
      </c>
      <c r="E230" s="23" t="s">
        <v>19</v>
      </c>
      <c r="F230" s="23" t="s">
        <v>20</v>
      </c>
      <c r="G230" s="23" t="s">
        <v>21</v>
      </c>
      <c r="H230" s="23">
        <v>5</v>
      </c>
      <c r="I230" s="23">
        <v>249.99</v>
      </c>
      <c r="J230" s="23" t="s">
        <v>22</v>
      </c>
      <c r="K230" s="23" t="s">
        <v>65</v>
      </c>
      <c r="L230" s="23" t="s">
        <v>38</v>
      </c>
      <c r="M230" s="29">
        <v>44540</v>
      </c>
      <c r="N230" s="23">
        <v>1249.95</v>
      </c>
    </row>
    <row r="231" spans="1:14" x14ac:dyDescent="0.3">
      <c r="A231" s="23" t="s">
        <v>378</v>
      </c>
      <c r="B231" s="29">
        <v>45724</v>
      </c>
      <c r="C231" s="23" t="s">
        <v>228</v>
      </c>
      <c r="D231" s="23" t="s">
        <v>229</v>
      </c>
      <c r="E231" s="23" t="s">
        <v>46</v>
      </c>
      <c r="F231" s="23" t="s">
        <v>47</v>
      </c>
      <c r="G231" s="23" t="s">
        <v>48</v>
      </c>
      <c r="H231" s="23">
        <v>2</v>
      </c>
      <c r="I231" s="23">
        <v>149.99</v>
      </c>
      <c r="J231" s="23" t="s">
        <v>36</v>
      </c>
      <c r="K231" s="23" t="s">
        <v>23</v>
      </c>
      <c r="L231" s="23" t="s">
        <v>29</v>
      </c>
      <c r="M231" s="29">
        <v>44632</v>
      </c>
      <c r="N231" s="23">
        <v>299.98</v>
      </c>
    </row>
    <row r="232" spans="1:14" x14ac:dyDescent="0.3">
      <c r="A232" s="23" t="s">
        <v>379</v>
      </c>
      <c r="B232" s="29">
        <v>45724</v>
      </c>
      <c r="C232" s="23" t="s">
        <v>146</v>
      </c>
      <c r="D232" s="23" t="s">
        <v>147</v>
      </c>
      <c r="E232" s="23" t="s">
        <v>63</v>
      </c>
      <c r="F232" s="23" t="s">
        <v>64</v>
      </c>
      <c r="G232" s="23" t="s">
        <v>21</v>
      </c>
      <c r="H232" s="23">
        <v>5</v>
      </c>
      <c r="I232" s="23">
        <v>899.99</v>
      </c>
      <c r="J232" s="23" t="s">
        <v>36</v>
      </c>
      <c r="K232" s="23" t="s">
        <v>65</v>
      </c>
      <c r="L232" s="23" t="s">
        <v>29</v>
      </c>
      <c r="M232" s="29">
        <v>45389</v>
      </c>
      <c r="N232" s="23">
        <v>4499.95</v>
      </c>
    </row>
    <row r="233" spans="1:14" x14ac:dyDescent="0.3">
      <c r="A233" s="23" t="s">
        <v>380</v>
      </c>
      <c r="B233" s="29">
        <v>45724</v>
      </c>
      <c r="C233" s="23" t="s">
        <v>57</v>
      </c>
      <c r="D233" s="23" t="s">
        <v>58</v>
      </c>
      <c r="E233" s="23" t="s">
        <v>46</v>
      </c>
      <c r="F233" s="23" t="s">
        <v>47</v>
      </c>
      <c r="G233" s="23" t="s">
        <v>48</v>
      </c>
      <c r="H233" s="23">
        <v>4</v>
      </c>
      <c r="I233" s="23">
        <v>149.99</v>
      </c>
      <c r="J233" s="23" t="s">
        <v>22</v>
      </c>
      <c r="K233" s="23" t="s">
        <v>23</v>
      </c>
      <c r="L233" s="23" t="s">
        <v>38</v>
      </c>
      <c r="M233" s="29">
        <v>45263</v>
      </c>
      <c r="N233" s="23">
        <v>599.96</v>
      </c>
    </row>
    <row r="234" spans="1:14" x14ac:dyDescent="0.3">
      <c r="A234" s="23" t="s">
        <v>381</v>
      </c>
      <c r="B234" s="29">
        <v>45726</v>
      </c>
      <c r="C234" s="23" t="s">
        <v>146</v>
      </c>
      <c r="D234" s="23" t="s">
        <v>147</v>
      </c>
      <c r="E234" s="23" t="s">
        <v>19</v>
      </c>
      <c r="F234" s="23" t="s">
        <v>20</v>
      </c>
      <c r="G234" s="23" t="s">
        <v>21</v>
      </c>
      <c r="H234" s="23">
        <v>1</v>
      </c>
      <c r="I234" s="23">
        <v>249.99</v>
      </c>
      <c r="J234" s="23" t="s">
        <v>22</v>
      </c>
      <c r="K234" s="23" t="s">
        <v>42</v>
      </c>
      <c r="L234" s="23" t="s">
        <v>38</v>
      </c>
      <c r="M234" s="29">
        <v>45117</v>
      </c>
      <c r="N234" s="23">
        <v>249.99</v>
      </c>
    </row>
    <row r="235" spans="1:14" x14ac:dyDescent="0.3">
      <c r="A235" s="23" t="s">
        <v>382</v>
      </c>
      <c r="B235" s="29">
        <v>45734</v>
      </c>
      <c r="C235" s="23" t="s">
        <v>194</v>
      </c>
      <c r="D235" s="23" t="s">
        <v>195</v>
      </c>
      <c r="E235" s="23" t="s">
        <v>33</v>
      </c>
      <c r="F235" s="23" t="s">
        <v>34</v>
      </c>
      <c r="G235" s="23" t="s">
        <v>35</v>
      </c>
      <c r="H235" s="23">
        <v>2</v>
      </c>
      <c r="I235" s="23">
        <v>59.99</v>
      </c>
      <c r="J235" s="23" t="s">
        <v>28</v>
      </c>
      <c r="K235" s="23" t="s">
        <v>52</v>
      </c>
      <c r="L235" s="23" t="s">
        <v>24</v>
      </c>
      <c r="M235" s="29">
        <v>45193</v>
      </c>
      <c r="N235" s="23">
        <v>119.98</v>
      </c>
    </row>
    <row r="236" spans="1:14" x14ac:dyDescent="0.3">
      <c r="A236" s="23" t="s">
        <v>383</v>
      </c>
      <c r="B236" s="29">
        <v>45737</v>
      </c>
      <c r="C236" s="23" t="s">
        <v>134</v>
      </c>
      <c r="D236" s="23" t="s">
        <v>135</v>
      </c>
      <c r="E236" s="23" t="s">
        <v>46</v>
      </c>
      <c r="F236" s="23" t="s">
        <v>47</v>
      </c>
      <c r="G236" s="23" t="s">
        <v>48</v>
      </c>
      <c r="H236" s="23">
        <v>2</v>
      </c>
      <c r="I236" s="23">
        <v>149.99</v>
      </c>
      <c r="J236" s="23" t="s">
        <v>22</v>
      </c>
      <c r="K236" s="23" t="s">
        <v>52</v>
      </c>
      <c r="L236" s="23" t="s">
        <v>29</v>
      </c>
      <c r="M236" s="29">
        <v>45233</v>
      </c>
      <c r="N236" s="23">
        <v>299.98</v>
      </c>
    </row>
    <row r="237" spans="1:14" x14ac:dyDescent="0.3">
      <c r="A237" s="23" t="s">
        <v>384</v>
      </c>
      <c r="B237" s="29">
        <v>45737</v>
      </c>
      <c r="C237" s="23" t="s">
        <v>152</v>
      </c>
      <c r="D237" s="23" t="s">
        <v>153</v>
      </c>
      <c r="E237" s="23" t="s">
        <v>63</v>
      </c>
      <c r="F237" s="23" t="s">
        <v>64</v>
      </c>
      <c r="G237" s="23" t="s">
        <v>21</v>
      </c>
      <c r="H237" s="23">
        <v>3</v>
      </c>
      <c r="I237" s="23">
        <v>899.99</v>
      </c>
      <c r="J237" s="23" t="s">
        <v>59</v>
      </c>
      <c r="K237" s="23" t="s">
        <v>42</v>
      </c>
      <c r="L237" s="23" t="s">
        <v>29</v>
      </c>
      <c r="M237" s="29">
        <v>44876</v>
      </c>
      <c r="N237" s="23">
        <v>2699.97</v>
      </c>
    </row>
    <row r="238" spans="1:14" x14ac:dyDescent="0.3">
      <c r="A238" s="23" t="s">
        <v>385</v>
      </c>
      <c r="B238" s="29">
        <v>45737</v>
      </c>
      <c r="C238" s="23" t="s">
        <v>50</v>
      </c>
      <c r="D238" s="23" t="s">
        <v>51</v>
      </c>
      <c r="E238" s="23" t="s">
        <v>63</v>
      </c>
      <c r="F238" s="23" t="s">
        <v>64</v>
      </c>
      <c r="G238" s="23" t="s">
        <v>21</v>
      </c>
      <c r="H238" s="23">
        <v>3</v>
      </c>
      <c r="I238" s="23">
        <v>899.99</v>
      </c>
      <c r="J238" s="23" t="s">
        <v>36</v>
      </c>
      <c r="K238" s="23" t="s">
        <v>42</v>
      </c>
      <c r="L238" s="23" t="s">
        <v>24</v>
      </c>
      <c r="M238" s="29">
        <v>44975</v>
      </c>
      <c r="N238" s="23">
        <v>2699.97</v>
      </c>
    </row>
    <row r="239" spans="1:14" x14ac:dyDescent="0.3">
      <c r="A239" s="23" t="s">
        <v>386</v>
      </c>
      <c r="B239" s="29">
        <v>45739</v>
      </c>
      <c r="C239" s="23" t="s">
        <v>17</v>
      </c>
      <c r="D239" s="23" t="s">
        <v>18</v>
      </c>
      <c r="E239" s="23" t="s">
        <v>107</v>
      </c>
      <c r="F239" s="23" t="s">
        <v>108</v>
      </c>
      <c r="G239" s="23" t="s">
        <v>48</v>
      </c>
      <c r="H239" s="23">
        <v>3</v>
      </c>
      <c r="I239" s="23">
        <v>299.99</v>
      </c>
      <c r="J239" s="23" t="s">
        <v>28</v>
      </c>
      <c r="K239" s="23" t="s">
        <v>52</v>
      </c>
      <c r="L239" s="23" t="s">
        <v>29</v>
      </c>
      <c r="M239" s="29">
        <v>45234</v>
      </c>
      <c r="N239" s="23">
        <v>899.97</v>
      </c>
    </row>
    <row r="240" spans="1:14" x14ac:dyDescent="0.3">
      <c r="A240" s="23" t="s">
        <v>387</v>
      </c>
      <c r="B240" s="29">
        <v>45740</v>
      </c>
      <c r="C240" s="23" t="s">
        <v>388</v>
      </c>
      <c r="D240" s="23" t="s">
        <v>389</v>
      </c>
      <c r="E240" s="23" t="s">
        <v>46</v>
      </c>
      <c r="F240" s="23" t="s">
        <v>47</v>
      </c>
      <c r="G240" s="23" t="s">
        <v>48</v>
      </c>
      <c r="H240" s="23">
        <v>4</v>
      </c>
      <c r="I240" s="23">
        <v>149.99</v>
      </c>
      <c r="J240" s="23" t="s">
        <v>36</v>
      </c>
      <c r="K240" s="23" t="s">
        <v>52</v>
      </c>
      <c r="L240" s="23" t="s">
        <v>38</v>
      </c>
      <c r="M240" s="29">
        <v>44560</v>
      </c>
      <c r="N240" s="23">
        <v>599.96</v>
      </c>
    </row>
    <row r="241" spans="1:14" x14ac:dyDescent="0.3">
      <c r="A241" s="23" t="s">
        <v>390</v>
      </c>
      <c r="B241" s="29">
        <v>45743</v>
      </c>
      <c r="C241" s="23" t="s">
        <v>104</v>
      </c>
      <c r="D241" s="23" t="s">
        <v>105</v>
      </c>
      <c r="E241" s="23" t="s">
        <v>116</v>
      </c>
      <c r="F241" s="23" t="s">
        <v>117</v>
      </c>
      <c r="G241" s="23" t="s">
        <v>35</v>
      </c>
      <c r="H241" s="23">
        <v>4</v>
      </c>
      <c r="I241" s="23">
        <v>79.989999999999995</v>
      </c>
      <c r="J241" s="23" t="s">
        <v>28</v>
      </c>
      <c r="K241" s="23" t="s">
        <v>23</v>
      </c>
      <c r="L241" s="23" t="s">
        <v>24</v>
      </c>
      <c r="M241" s="29">
        <v>45288</v>
      </c>
      <c r="N241" s="23">
        <v>319.95999999999998</v>
      </c>
    </row>
    <row r="242" spans="1:14" x14ac:dyDescent="0.3">
      <c r="A242" s="23" t="s">
        <v>391</v>
      </c>
      <c r="B242" s="29">
        <v>45745</v>
      </c>
      <c r="C242" s="23" t="s">
        <v>187</v>
      </c>
      <c r="D242" s="23" t="s">
        <v>188</v>
      </c>
      <c r="E242" s="23" t="s">
        <v>119</v>
      </c>
      <c r="F242" s="23" t="s">
        <v>120</v>
      </c>
      <c r="G242" s="23" t="s">
        <v>21</v>
      </c>
      <c r="H242" s="23">
        <v>5</v>
      </c>
      <c r="I242" s="23">
        <v>89.99</v>
      </c>
      <c r="J242" s="23" t="s">
        <v>36</v>
      </c>
      <c r="K242" s="23" t="s">
        <v>37</v>
      </c>
      <c r="L242" s="23" t="s">
        <v>24</v>
      </c>
      <c r="M242" s="29">
        <v>44704</v>
      </c>
      <c r="N242" s="23">
        <v>449.95</v>
      </c>
    </row>
    <row r="243" spans="1:14" x14ac:dyDescent="0.3">
      <c r="A243" s="23" t="s">
        <v>392</v>
      </c>
      <c r="B243" s="29">
        <v>45746</v>
      </c>
      <c r="C243" s="23" t="s">
        <v>95</v>
      </c>
      <c r="D243" s="23" t="s">
        <v>96</v>
      </c>
      <c r="E243" s="23" t="s">
        <v>46</v>
      </c>
      <c r="F243" s="23" t="s">
        <v>47</v>
      </c>
      <c r="G243" s="23" t="s">
        <v>48</v>
      </c>
      <c r="H243" s="23">
        <v>3</v>
      </c>
      <c r="I243" s="23">
        <v>149.99</v>
      </c>
      <c r="J243" s="23" t="s">
        <v>36</v>
      </c>
      <c r="K243" s="23" t="s">
        <v>23</v>
      </c>
      <c r="L243" s="23" t="s">
        <v>38</v>
      </c>
      <c r="M243" s="29">
        <v>45171</v>
      </c>
      <c r="N243" s="23">
        <v>449.97</v>
      </c>
    </row>
    <row r="244" spans="1:14" x14ac:dyDescent="0.3">
      <c r="A244" s="23" t="s">
        <v>393</v>
      </c>
      <c r="B244" s="29">
        <v>45746</v>
      </c>
      <c r="C244" s="23" t="s">
        <v>67</v>
      </c>
      <c r="D244" s="23" t="s">
        <v>68</v>
      </c>
      <c r="E244" s="23" t="s">
        <v>119</v>
      </c>
      <c r="F244" s="23" t="s">
        <v>120</v>
      </c>
      <c r="G244" s="23" t="s">
        <v>21</v>
      </c>
      <c r="H244" s="23">
        <v>2</v>
      </c>
      <c r="I244" s="23">
        <v>89.99</v>
      </c>
      <c r="J244" s="23" t="s">
        <v>59</v>
      </c>
      <c r="K244" s="23" t="s">
        <v>52</v>
      </c>
      <c r="L244" s="23" t="s">
        <v>29</v>
      </c>
      <c r="M244" s="29">
        <v>44522</v>
      </c>
      <c r="N244" s="23">
        <v>179.98</v>
      </c>
    </row>
    <row r="245" spans="1:14" x14ac:dyDescent="0.3">
      <c r="A245" s="23" t="s">
        <v>394</v>
      </c>
      <c r="B245" s="29">
        <v>45748</v>
      </c>
      <c r="C245" s="23" t="s">
        <v>104</v>
      </c>
      <c r="D245" s="23" t="s">
        <v>105</v>
      </c>
      <c r="E245" s="23" t="s">
        <v>82</v>
      </c>
      <c r="F245" s="23" t="s">
        <v>83</v>
      </c>
      <c r="G245" s="23" t="s">
        <v>21</v>
      </c>
      <c r="H245" s="23">
        <v>2</v>
      </c>
      <c r="I245" s="23">
        <v>699.99</v>
      </c>
      <c r="J245" s="23" t="s">
        <v>36</v>
      </c>
      <c r="K245" s="23" t="s">
        <v>42</v>
      </c>
      <c r="L245" s="23" t="s">
        <v>38</v>
      </c>
      <c r="M245" s="29">
        <v>44618</v>
      </c>
      <c r="N245" s="23">
        <v>1399.98</v>
      </c>
    </row>
    <row r="246" spans="1:14" x14ac:dyDescent="0.3">
      <c r="A246" s="23" t="s">
        <v>395</v>
      </c>
      <c r="B246" s="29">
        <v>45749</v>
      </c>
      <c r="C246" s="23" t="s">
        <v>125</v>
      </c>
      <c r="D246" s="23" t="s">
        <v>126</v>
      </c>
      <c r="E246" s="23" t="s">
        <v>63</v>
      </c>
      <c r="F246" s="23" t="s">
        <v>64</v>
      </c>
      <c r="G246" s="23" t="s">
        <v>21</v>
      </c>
      <c r="H246" s="23">
        <v>3</v>
      </c>
      <c r="I246" s="23">
        <v>899.99</v>
      </c>
      <c r="J246" s="23" t="s">
        <v>22</v>
      </c>
      <c r="K246" s="23" t="s">
        <v>23</v>
      </c>
      <c r="L246" s="23" t="s">
        <v>38</v>
      </c>
      <c r="M246" s="29">
        <v>44953</v>
      </c>
      <c r="N246" s="23">
        <v>2699.97</v>
      </c>
    </row>
    <row r="247" spans="1:14" x14ac:dyDescent="0.3">
      <c r="A247" s="23" t="s">
        <v>396</v>
      </c>
      <c r="B247" s="29">
        <v>45755</v>
      </c>
      <c r="C247" s="23" t="s">
        <v>95</v>
      </c>
      <c r="D247" s="23" t="s">
        <v>96</v>
      </c>
      <c r="E247" s="23" t="s">
        <v>116</v>
      </c>
      <c r="F247" s="23" t="s">
        <v>117</v>
      </c>
      <c r="G247" s="23" t="s">
        <v>35</v>
      </c>
      <c r="H247" s="23">
        <v>3</v>
      </c>
      <c r="I247" s="23">
        <v>79.989999999999995</v>
      </c>
      <c r="J247" s="23" t="s">
        <v>28</v>
      </c>
      <c r="K247" s="23" t="s">
        <v>42</v>
      </c>
      <c r="L247" s="23" t="s">
        <v>24</v>
      </c>
      <c r="M247" s="29">
        <v>44511</v>
      </c>
      <c r="N247" s="23">
        <v>239.97</v>
      </c>
    </row>
    <row r="248" spans="1:14" x14ac:dyDescent="0.3">
      <c r="A248" s="23" t="s">
        <v>397</v>
      </c>
      <c r="B248" s="29">
        <v>45756</v>
      </c>
      <c r="C248" s="23" t="s">
        <v>61</v>
      </c>
      <c r="D248" s="23" t="s">
        <v>62</v>
      </c>
      <c r="E248" s="23" t="s">
        <v>119</v>
      </c>
      <c r="F248" s="23" t="s">
        <v>120</v>
      </c>
      <c r="G248" s="23" t="s">
        <v>21</v>
      </c>
      <c r="H248" s="23">
        <v>1</v>
      </c>
      <c r="I248" s="23">
        <v>89.99</v>
      </c>
      <c r="J248" s="23" t="s">
        <v>59</v>
      </c>
      <c r="K248" s="23" t="s">
        <v>65</v>
      </c>
      <c r="L248" s="23" t="s">
        <v>24</v>
      </c>
      <c r="M248" s="29">
        <v>45346</v>
      </c>
      <c r="N248" s="23">
        <v>89.99</v>
      </c>
    </row>
    <row r="249" spans="1:14" x14ac:dyDescent="0.3">
      <c r="A249" s="23" t="s">
        <v>398</v>
      </c>
      <c r="B249" s="29">
        <v>45758</v>
      </c>
      <c r="C249" s="23" t="s">
        <v>295</v>
      </c>
      <c r="D249" s="23" t="s">
        <v>296</v>
      </c>
      <c r="E249" s="23" t="s">
        <v>82</v>
      </c>
      <c r="F249" s="23" t="s">
        <v>83</v>
      </c>
      <c r="G249" s="23" t="s">
        <v>21</v>
      </c>
      <c r="H249" s="23">
        <v>3</v>
      </c>
      <c r="I249" s="23">
        <v>699.99</v>
      </c>
      <c r="J249" s="23" t="s">
        <v>36</v>
      </c>
      <c r="K249" s="23" t="s">
        <v>42</v>
      </c>
      <c r="L249" s="23" t="s">
        <v>24</v>
      </c>
      <c r="M249" s="29">
        <v>44909</v>
      </c>
      <c r="N249" s="23">
        <v>2099.9699999999998</v>
      </c>
    </row>
    <row r="250" spans="1:14" x14ac:dyDescent="0.3">
      <c r="A250" s="23" t="s">
        <v>399</v>
      </c>
      <c r="B250" s="29">
        <v>45758</v>
      </c>
      <c r="C250" s="23" t="s">
        <v>228</v>
      </c>
      <c r="D250" s="23" t="s">
        <v>229</v>
      </c>
      <c r="E250" s="23" t="s">
        <v>119</v>
      </c>
      <c r="F250" s="23" t="s">
        <v>120</v>
      </c>
      <c r="G250" s="23" t="s">
        <v>21</v>
      </c>
      <c r="H250" s="23">
        <v>2</v>
      </c>
      <c r="I250" s="23">
        <v>89.99</v>
      </c>
      <c r="J250" s="23" t="s">
        <v>59</v>
      </c>
      <c r="K250" s="23" t="s">
        <v>65</v>
      </c>
      <c r="L250" s="23" t="s">
        <v>24</v>
      </c>
      <c r="M250" s="29">
        <v>45088</v>
      </c>
      <c r="N250" s="23">
        <v>179.98</v>
      </c>
    </row>
    <row r="251" spans="1:14" x14ac:dyDescent="0.3">
      <c r="A251" s="23" t="s">
        <v>400</v>
      </c>
      <c r="B251" s="29">
        <v>45758</v>
      </c>
      <c r="C251" s="23" t="s">
        <v>140</v>
      </c>
      <c r="D251" s="23" t="s">
        <v>141</v>
      </c>
      <c r="E251" s="23" t="s">
        <v>119</v>
      </c>
      <c r="F251" s="23" t="s">
        <v>120</v>
      </c>
      <c r="G251" s="23" t="s">
        <v>21</v>
      </c>
      <c r="H251" s="23">
        <v>3</v>
      </c>
      <c r="I251" s="23">
        <v>89.99</v>
      </c>
      <c r="J251" s="23" t="s">
        <v>59</v>
      </c>
      <c r="K251" s="23" t="s">
        <v>42</v>
      </c>
      <c r="L251" s="23" t="s">
        <v>29</v>
      </c>
      <c r="M251" s="29">
        <v>44878</v>
      </c>
      <c r="N251" s="23">
        <v>269.97000000000003</v>
      </c>
    </row>
  </sheetData>
  <conditionalFormatting sqref="H1:H251">
    <cfRule type="dataBar" priority="2">
      <dataBar>
        <cfvo type="min"/>
        <cfvo type="max"/>
        <color rgb="FF638EC6"/>
      </dataBar>
      <extLst>
        <ext xmlns:x14="http://schemas.microsoft.com/office/spreadsheetml/2009/9/main" uri="{B025F937-C7B1-47D3-B67F-A62EFF666E3E}">
          <x14:id>{92CB9B16-50B1-4337-B4A6-C807F2841BDF}</x14:id>
        </ext>
      </extLst>
    </cfRule>
  </conditionalFormatting>
  <conditionalFormatting sqref="N1:N251">
    <cfRule type="iconSet" priority="3">
      <iconSet iconSet="3Arrows">
        <cfvo type="percent" val="0"/>
        <cfvo type="percent" val="33"/>
        <cfvo type="percent" val="67"/>
      </iconSet>
    </cfRule>
  </conditionalFormatting>
  <conditionalFormatting sqref="N2">
    <cfRule type="iconSet" priority="1">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2CB9B16-50B1-4337-B4A6-C807F2841BDF}">
            <x14:dataBar minLength="0" maxLength="100" border="1" negativeBarBorderColorSameAsPositive="0">
              <x14:cfvo type="autoMin"/>
              <x14:cfvo type="autoMax"/>
              <x14:borderColor rgb="FF638EC6"/>
              <x14:negativeFillColor rgb="FFFF0000"/>
              <x14:negativeBorderColor rgb="FFFF0000"/>
              <x14:axisColor rgb="FF000000"/>
            </x14:dataBar>
          </x14:cfRule>
          <xm:sqref>H1:H251</xm:sqref>
        </x14:conditionalFormatting>
        <x14:conditionalFormatting xmlns:xm="http://schemas.microsoft.com/office/excel/2006/main">
          <x14:cfRule type="iconSet" priority="4" id="{EBA40622-2AEB-4AAF-9625-0AB7BBCAC5AB}">
            <x14:iconSet iconSet="3Stars">
              <x14:cfvo type="percent">
                <xm:f>0</xm:f>
              </x14:cfvo>
              <x14:cfvo type="percent">
                <xm:f>33</xm:f>
              </x14:cfvo>
              <x14:cfvo type="percent">
                <xm:f>67</xm:f>
              </x14:cfvo>
            </x14:iconSet>
          </x14:cfRule>
          <xm:sqref>I1:I251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83E16-3E42-4D14-87A7-7CA7FBBE57C4}">
  <dimension ref="A1:N50"/>
  <sheetViews>
    <sheetView tabSelected="1" workbookViewId="0">
      <selection activeCell="K18" sqref="K18"/>
    </sheetView>
  </sheetViews>
  <sheetFormatPr defaultColWidth="9.109375" defaultRowHeight="14.4" x14ac:dyDescent="0.3"/>
  <cols>
    <col min="2" max="2" width="12" customWidth="1"/>
    <col min="3" max="3" width="13.88671875" customWidth="1"/>
    <col min="4" max="4" width="14" customWidth="1"/>
    <col min="12" max="12" width="10.6640625" customWidth="1"/>
    <col min="13" max="14" width="10.109375" customWidth="1"/>
  </cols>
  <sheetData>
    <row r="1" spans="1:14" ht="15.6" x14ac:dyDescent="0.3">
      <c r="A1" s="24" t="s">
        <v>9</v>
      </c>
      <c r="B1" s="24" t="s">
        <v>10</v>
      </c>
      <c r="C1" s="24" t="s">
        <v>15</v>
      </c>
      <c r="D1" s="24" t="s">
        <v>427</v>
      </c>
      <c r="F1" s="53" t="s">
        <v>428</v>
      </c>
      <c r="G1" s="53"/>
      <c r="H1" s="54"/>
      <c r="I1" s="54"/>
      <c r="J1" s="54"/>
      <c r="L1" s="30" t="s">
        <v>429</v>
      </c>
      <c r="M1" s="31" t="s">
        <v>430</v>
      </c>
      <c r="N1" s="31" t="s">
        <v>431</v>
      </c>
    </row>
    <row r="2" spans="1:14" ht="15.6" x14ac:dyDescent="0.3">
      <c r="A2" s="23">
        <v>1</v>
      </c>
      <c r="B2" s="23">
        <v>249.99</v>
      </c>
      <c r="C2" s="23">
        <f>A2*B2</f>
        <v>249.99</v>
      </c>
      <c r="D2">
        <f>SUM(C2:C10)</f>
        <v>11909.55</v>
      </c>
      <c r="F2" s="55"/>
      <c r="G2" s="55"/>
      <c r="H2" s="56" t="s">
        <v>432</v>
      </c>
      <c r="I2" s="56" t="s">
        <v>433</v>
      </c>
      <c r="J2" s="56" t="s">
        <v>434</v>
      </c>
      <c r="L2" s="32" t="s">
        <v>9</v>
      </c>
      <c r="M2" s="32" t="s">
        <v>15</v>
      </c>
      <c r="N2" s="32" t="s">
        <v>10</v>
      </c>
    </row>
    <row r="3" spans="1:14" ht="30.6" x14ac:dyDescent="0.3">
      <c r="A3" s="23">
        <v>2</v>
      </c>
      <c r="B3" s="23">
        <v>249.99</v>
      </c>
      <c r="C3" s="23">
        <f t="shared" ref="C3:C10" si="0">A3*B3</f>
        <v>499.98</v>
      </c>
      <c r="F3" s="33"/>
      <c r="G3" s="33"/>
      <c r="I3" s="34" t="s">
        <v>435</v>
      </c>
      <c r="J3" s="34" t="s">
        <v>435</v>
      </c>
      <c r="L3" s="35">
        <v>3</v>
      </c>
      <c r="M3" s="35">
        <f>L3*N3</f>
        <v>300.00000000000011</v>
      </c>
      <c r="N3" s="35">
        <v>100.00000000000003</v>
      </c>
    </row>
    <row r="4" spans="1:14" x14ac:dyDescent="0.3">
      <c r="A4" s="23">
        <v>3</v>
      </c>
      <c r="B4" s="23">
        <v>59.99</v>
      </c>
      <c r="C4" s="23">
        <f t="shared" si="0"/>
        <v>179.97</v>
      </c>
      <c r="F4" s="36" t="s">
        <v>436</v>
      </c>
      <c r="G4" s="36"/>
      <c r="H4" s="37"/>
      <c r="I4" s="37"/>
      <c r="J4" s="37"/>
      <c r="L4" s="35">
        <v>4</v>
      </c>
      <c r="M4" s="35">
        <f t="shared" ref="M4:M11" si="1">L4*N4</f>
        <v>400</v>
      </c>
      <c r="N4" s="35">
        <v>100</v>
      </c>
    </row>
    <row r="5" spans="1:14" x14ac:dyDescent="0.3">
      <c r="A5" s="23">
        <v>4</v>
      </c>
      <c r="B5" s="23">
        <v>59.99</v>
      </c>
      <c r="C5" s="23">
        <f t="shared" si="0"/>
        <v>239.96</v>
      </c>
      <c r="F5" s="33"/>
      <c r="G5" s="33" t="s">
        <v>437</v>
      </c>
      <c r="H5">
        <v>1</v>
      </c>
      <c r="I5" s="38">
        <v>1</v>
      </c>
      <c r="J5" s="38">
        <v>9</v>
      </c>
      <c r="L5" s="35">
        <v>5</v>
      </c>
      <c r="M5" s="35">
        <f t="shared" si="1"/>
        <v>499.99999999999994</v>
      </c>
      <c r="N5" s="35">
        <v>99.999999999999986</v>
      </c>
    </row>
    <row r="6" spans="1:14" x14ac:dyDescent="0.3">
      <c r="A6" s="23">
        <v>5</v>
      </c>
      <c r="B6" s="23">
        <v>149.99</v>
      </c>
      <c r="C6" s="23">
        <f t="shared" si="0"/>
        <v>749.95</v>
      </c>
      <c r="F6" s="33"/>
      <c r="G6" s="33" t="s">
        <v>438</v>
      </c>
      <c r="H6">
        <v>2</v>
      </c>
      <c r="I6" s="38">
        <v>2</v>
      </c>
      <c r="J6" s="38">
        <v>8</v>
      </c>
      <c r="L6" s="35">
        <v>6</v>
      </c>
      <c r="M6" s="35">
        <f t="shared" si="1"/>
        <v>600.00000000000011</v>
      </c>
      <c r="N6" s="35">
        <v>100.00000000000001</v>
      </c>
    </row>
    <row r="7" spans="1:14" x14ac:dyDescent="0.3">
      <c r="A7" s="23">
        <v>6</v>
      </c>
      <c r="B7" s="23">
        <v>59.99</v>
      </c>
      <c r="C7" s="23">
        <f t="shared" si="0"/>
        <v>359.94</v>
      </c>
      <c r="F7" s="33"/>
      <c r="G7" s="33" t="s">
        <v>439</v>
      </c>
      <c r="H7">
        <v>3</v>
      </c>
      <c r="I7" s="38">
        <v>3</v>
      </c>
      <c r="J7" s="38">
        <v>7</v>
      </c>
      <c r="L7" s="35">
        <v>7</v>
      </c>
      <c r="M7" s="35">
        <f t="shared" si="1"/>
        <v>700</v>
      </c>
      <c r="N7" s="35">
        <v>100</v>
      </c>
    </row>
    <row r="8" spans="1:14" x14ac:dyDescent="0.3">
      <c r="A8" s="23">
        <v>7</v>
      </c>
      <c r="B8" s="23">
        <v>149.99</v>
      </c>
      <c r="C8" s="23">
        <f t="shared" si="0"/>
        <v>1049.93</v>
      </c>
      <c r="F8" s="33"/>
      <c r="G8" s="33" t="s">
        <v>440</v>
      </c>
      <c r="H8">
        <v>4</v>
      </c>
      <c r="I8" s="38">
        <v>4</v>
      </c>
      <c r="J8" s="38">
        <v>6</v>
      </c>
      <c r="L8" s="35">
        <v>10</v>
      </c>
      <c r="M8" s="35">
        <f t="shared" si="1"/>
        <v>800</v>
      </c>
      <c r="N8" s="35">
        <v>80</v>
      </c>
    </row>
    <row r="9" spans="1:14" x14ac:dyDescent="0.3">
      <c r="A9" s="23">
        <v>8</v>
      </c>
      <c r="B9" s="23">
        <v>59.99</v>
      </c>
      <c r="C9" s="23">
        <f t="shared" si="0"/>
        <v>479.92</v>
      </c>
      <c r="F9" s="33"/>
      <c r="G9" s="33" t="s">
        <v>441</v>
      </c>
      <c r="H9">
        <v>5</v>
      </c>
      <c r="I9" s="38">
        <v>5</v>
      </c>
      <c r="J9" s="38">
        <v>5</v>
      </c>
      <c r="L9" s="35">
        <v>2</v>
      </c>
      <c r="M9" s="35">
        <f t="shared" si="1"/>
        <v>900</v>
      </c>
      <c r="N9" s="35">
        <v>450</v>
      </c>
    </row>
    <row r="10" spans="1:14" x14ac:dyDescent="0.3">
      <c r="A10" s="23">
        <v>9</v>
      </c>
      <c r="B10" s="23">
        <v>899.99</v>
      </c>
      <c r="C10" s="23">
        <f t="shared" si="0"/>
        <v>8099.91</v>
      </c>
      <c r="F10" s="33"/>
      <c r="G10" s="33" t="s">
        <v>442</v>
      </c>
      <c r="H10">
        <v>6</v>
      </c>
      <c r="I10" s="38">
        <v>6</v>
      </c>
      <c r="J10" s="38">
        <v>4</v>
      </c>
      <c r="L10" s="35">
        <v>4</v>
      </c>
      <c r="M10" s="35">
        <f t="shared" si="1"/>
        <v>100</v>
      </c>
      <c r="N10" s="35">
        <v>25</v>
      </c>
    </row>
    <row r="11" spans="1:14" x14ac:dyDescent="0.3">
      <c r="B11" s="23"/>
      <c r="C11" s="23"/>
      <c r="F11" s="33"/>
      <c r="G11" s="33" t="s">
        <v>443</v>
      </c>
      <c r="H11">
        <v>7</v>
      </c>
      <c r="I11" s="38">
        <v>7</v>
      </c>
      <c r="J11" s="38">
        <v>3</v>
      </c>
      <c r="L11" s="35">
        <v>21</v>
      </c>
      <c r="M11" s="35">
        <f t="shared" si="1"/>
        <v>199.99999999999989</v>
      </c>
      <c r="N11" s="35">
        <v>9.5238095238095184</v>
      </c>
    </row>
    <row r="12" spans="1:14" x14ac:dyDescent="0.3">
      <c r="B12" s="23"/>
      <c r="C12" s="23"/>
      <c r="F12" s="33"/>
      <c r="G12" s="33" t="s">
        <v>444</v>
      </c>
      <c r="H12">
        <v>8</v>
      </c>
      <c r="I12" s="38">
        <v>8</v>
      </c>
      <c r="J12" s="38">
        <v>2</v>
      </c>
    </row>
    <row r="13" spans="1:14" x14ac:dyDescent="0.3">
      <c r="B13" s="23"/>
      <c r="C13" s="23"/>
      <c r="F13" s="33"/>
      <c r="G13" s="33" t="s">
        <v>445</v>
      </c>
      <c r="H13">
        <v>9</v>
      </c>
      <c r="I13" s="38">
        <v>9</v>
      </c>
      <c r="J13" s="38">
        <v>1</v>
      </c>
    </row>
    <row r="14" spans="1:14" x14ac:dyDescent="0.3">
      <c r="B14" s="23"/>
      <c r="C14" s="23"/>
      <c r="F14" s="36" t="s">
        <v>446</v>
      </c>
      <c r="G14" s="36"/>
      <c r="H14" s="37"/>
      <c r="I14" s="37"/>
      <c r="J14" s="37"/>
    </row>
    <row r="15" spans="1:14" ht="15" thickBot="1" x14ac:dyDescent="0.35">
      <c r="B15" s="23"/>
      <c r="C15" s="23"/>
      <c r="F15" s="39"/>
      <c r="G15" s="39" t="s">
        <v>447</v>
      </c>
      <c r="H15" s="40">
        <v>11909.55</v>
      </c>
      <c r="I15" s="40">
        <v>11909.55</v>
      </c>
      <c r="J15" s="40">
        <v>7489.55</v>
      </c>
    </row>
    <row r="16" spans="1:14" x14ac:dyDescent="0.3">
      <c r="B16" s="23"/>
      <c r="C16" s="23"/>
    </row>
    <row r="17" spans="2:11" x14ac:dyDescent="0.3">
      <c r="B17" s="23"/>
      <c r="C17" s="23"/>
    </row>
    <row r="18" spans="2:11" x14ac:dyDescent="0.3">
      <c r="B18" s="23"/>
      <c r="C18" s="23"/>
      <c r="K18" s="57" t="s">
        <v>460</v>
      </c>
    </row>
    <row r="19" spans="2:11" x14ac:dyDescent="0.3">
      <c r="B19" s="23"/>
      <c r="C19" s="23"/>
    </row>
    <row r="20" spans="2:11" x14ac:dyDescent="0.3">
      <c r="B20" s="23"/>
      <c r="C20" s="23"/>
    </row>
    <row r="21" spans="2:11" x14ac:dyDescent="0.3">
      <c r="B21" s="23"/>
      <c r="C21" s="23"/>
    </row>
    <row r="22" spans="2:11" x14ac:dyDescent="0.3">
      <c r="B22" s="23"/>
      <c r="C22" s="23"/>
    </row>
    <row r="23" spans="2:11" x14ac:dyDescent="0.3">
      <c r="B23" s="23"/>
      <c r="C23" s="23"/>
    </row>
    <row r="24" spans="2:11" x14ac:dyDescent="0.3">
      <c r="B24" s="23"/>
      <c r="C24" s="23"/>
    </row>
    <row r="25" spans="2:11" x14ac:dyDescent="0.3">
      <c r="B25" s="23"/>
      <c r="C25" s="23"/>
    </row>
    <row r="26" spans="2:11" x14ac:dyDescent="0.3">
      <c r="B26" s="23"/>
      <c r="C26" s="23"/>
    </row>
    <row r="27" spans="2:11" x14ac:dyDescent="0.3">
      <c r="B27" s="23"/>
      <c r="C27" s="23"/>
    </row>
    <row r="28" spans="2:11" x14ac:dyDescent="0.3">
      <c r="B28" s="23"/>
      <c r="C28" s="23"/>
    </row>
    <row r="29" spans="2:11" x14ac:dyDescent="0.3">
      <c r="B29" s="23"/>
      <c r="C29" s="23"/>
    </row>
    <row r="30" spans="2:11" x14ac:dyDescent="0.3">
      <c r="B30" s="23"/>
      <c r="C30" s="23"/>
    </row>
    <row r="31" spans="2:11" x14ac:dyDescent="0.3">
      <c r="B31" s="23"/>
      <c r="C31" s="23"/>
    </row>
    <row r="32" spans="2:11" x14ac:dyDescent="0.3">
      <c r="B32" s="23"/>
      <c r="C32" s="23"/>
    </row>
    <row r="33" spans="2:3" x14ac:dyDescent="0.3">
      <c r="B33" s="23"/>
      <c r="C33" s="23"/>
    </row>
    <row r="34" spans="2:3" x14ac:dyDescent="0.3">
      <c r="B34" s="23"/>
      <c r="C34" s="23"/>
    </row>
    <row r="35" spans="2:3" x14ac:dyDescent="0.3">
      <c r="B35" s="23"/>
      <c r="C35" s="23"/>
    </row>
    <row r="36" spans="2:3" x14ac:dyDescent="0.3">
      <c r="B36" s="23"/>
      <c r="C36" s="23"/>
    </row>
    <row r="37" spans="2:3" x14ac:dyDescent="0.3">
      <c r="B37" s="23"/>
      <c r="C37" s="23"/>
    </row>
    <row r="38" spans="2:3" x14ac:dyDescent="0.3">
      <c r="B38" s="23"/>
      <c r="C38" s="23"/>
    </row>
    <row r="39" spans="2:3" x14ac:dyDescent="0.3">
      <c r="B39" s="23"/>
      <c r="C39" s="23"/>
    </row>
    <row r="40" spans="2:3" x14ac:dyDescent="0.3">
      <c r="B40" s="23"/>
      <c r="C40" s="23"/>
    </row>
    <row r="41" spans="2:3" x14ac:dyDescent="0.3">
      <c r="B41" s="23"/>
      <c r="C41" s="23"/>
    </row>
    <row r="42" spans="2:3" x14ac:dyDescent="0.3">
      <c r="B42" s="23"/>
      <c r="C42" s="23"/>
    </row>
    <row r="43" spans="2:3" x14ac:dyDescent="0.3">
      <c r="B43" s="23"/>
      <c r="C43" s="23"/>
    </row>
    <row r="44" spans="2:3" x14ac:dyDescent="0.3">
      <c r="B44" s="23"/>
      <c r="C44" s="23"/>
    </row>
    <row r="45" spans="2:3" x14ac:dyDescent="0.3">
      <c r="B45" s="23"/>
      <c r="C45" s="23"/>
    </row>
    <row r="46" spans="2:3" x14ac:dyDescent="0.3">
      <c r="B46" s="23"/>
      <c r="C46" s="23"/>
    </row>
    <row r="47" spans="2:3" x14ac:dyDescent="0.3">
      <c r="B47" s="23"/>
      <c r="C47" s="23"/>
    </row>
    <row r="48" spans="2:3" x14ac:dyDescent="0.3">
      <c r="B48" s="23"/>
      <c r="C48" s="23"/>
    </row>
    <row r="49" spans="2:3" x14ac:dyDescent="0.3">
      <c r="B49" s="23"/>
      <c r="C49" s="23"/>
    </row>
    <row r="50" spans="2:3" x14ac:dyDescent="0.3">
      <c r="B50" s="23"/>
      <c r="C50" s="23"/>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7372-716B-4E23-A81A-631850B2E653}">
  <dimension ref="A1:Q251"/>
  <sheetViews>
    <sheetView topLeftCell="A24" workbookViewId="0">
      <selection activeCell="U2" sqref="U2"/>
    </sheetView>
  </sheetViews>
  <sheetFormatPr defaultColWidth="9.109375" defaultRowHeight="14.4" x14ac:dyDescent="0.3"/>
  <sheetData>
    <row r="1" spans="1:17" ht="72" x14ac:dyDescent="0.3">
      <c r="A1" s="24" t="s">
        <v>10</v>
      </c>
      <c r="B1" s="24" t="s">
        <v>10</v>
      </c>
      <c r="C1" s="24" t="s">
        <v>15</v>
      </c>
      <c r="F1" s="51" t="s">
        <v>448</v>
      </c>
      <c r="G1" s="51" t="s">
        <v>449</v>
      </c>
      <c r="H1" s="51" t="s">
        <v>450</v>
      </c>
      <c r="I1" s="51" t="s">
        <v>451</v>
      </c>
      <c r="J1" s="52" t="s">
        <v>452</v>
      </c>
      <c r="K1" s="52" t="s">
        <v>453</v>
      </c>
      <c r="L1" s="52" t="s">
        <v>454</v>
      </c>
      <c r="M1" s="52" t="s">
        <v>455</v>
      </c>
      <c r="N1" s="51" t="s">
        <v>456</v>
      </c>
      <c r="O1" s="51" t="s">
        <v>457</v>
      </c>
      <c r="P1" s="52"/>
      <c r="Q1" s="51" t="s">
        <v>458</v>
      </c>
    </row>
    <row r="2" spans="1:17" x14ac:dyDescent="0.3">
      <c r="A2" s="23">
        <v>249.99</v>
      </c>
      <c r="B2" s="23">
        <v>249.99</v>
      </c>
      <c r="C2" s="23">
        <v>749.97</v>
      </c>
      <c r="F2">
        <f>AVERAGE(B2:B243)</f>
        <v>295.15528925619822</v>
      </c>
      <c r="G2">
        <f>AVERAGE(C2:C243)</f>
        <v>917.49033057851364</v>
      </c>
      <c r="H2">
        <f>B2-$F$2</f>
        <v>-45.165289256198207</v>
      </c>
      <c r="I2">
        <f>C2-$G$2</f>
        <v>-167.52033057851361</v>
      </c>
      <c r="J2">
        <f>H2*I2</f>
        <v>7566.1041868725124</v>
      </c>
      <c r="K2">
        <f>AVERAGE(J2:J243)</f>
        <v>233568.7821767639</v>
      </c>
      <c r="L2">
        <f>H2*H2</f>
        <v>2039.9033535960532</v>
      </c>
      <c r="M2">
        <f>AVERAGE(L2:L243)</f>
        <v>73964.642100949393</v>
      </c>
      <c r="N2">
        <f>K2/M2</f>
        <v>3.1578437418514307</v>
      </c>
      <c r="O2">
        <f>G2-(N2*F2)</f>
        <v>-14.563952473520771</v>
      </c>
      <c r="P2">
        <f>C244-D244</f>
        <v>-89.630405855689474</v>
      </c>
      <c r="Q2" s="41">
        <f>1-P2/C244</f>
        <v>1.4980020327574701</v>
      </c>
    </row>
    <row r="3" spans="1:17" x14ac:dyDescent="0.3">
      <c r="A3" s="23">
        <v>249.99</v>
      </c>
      <c r="B3" s="23">
        <v>249.99</v>
      </c>
      <c r="C3" s="23">
        <v>749.97</v>
      </c>
      <c r="H3">
        <f t="shared" ref="H3:H66" si="0">B3-$F$2</f>
        <v>-45.165289256198207</v>
      </c>
      <c r="I3">
        <f t="shared" ref="I3:I66" si="1">C3-$G$2</f>
        <v>-167.52033057851361</v>
      </c>
      <c r="J3">
        <f t="shared" ref="J3:J66" si="2">H3*I3</f>
        <v>7566.1041868725124</v>
      </c>
      <c r="L3">
        <f t="shared" ref="L3:L66" si="3">H3*H3</f>
        <v>2039.9033535960532</v>
      </c>
      <c r="P3">
        <f t="shared" ref="P3:P9" si="4">C245-D245</f>
        <v>-795.91508838506252</v>
      </c>
      <c r="Q3" s="41">
        <f t="shared" ref="Q3:Q9" si="5">1-P3/C245</f>
        <v>1.5685188991164605</v>
      </c>
    </row>
    <row r="4" spans="1:17" x14ac:dyDescent="0.3">
      <c r="A4" s="23">
        <v>59.99</v>
      </c>
      <c r="B4" s="23">
        <v>59.99</v>
      </c>
      <c r="C4" s="23">
        <v>179.97</v>
      </c>
      <c r="H4">
        <f t="shared" si="0"/>
        <v>-235.16528925619821</v>
      </c>
      <c r="I4">
        <f t="shared" si="1"/>
        <v>-737.52033057851361</v>
      </c>
      <c r="J4">
        <f t="shared" si="2"/>
        <v>173439.18187282307</v>
      </c>
      <c r="L4">
        <f t="shared" si="3"/>
        <v>55302.713270951375</v>
      </c>
      <c r="P4">
        <f t="shared" si="4"/>
        <v>-127.49383675534864</v>
      </c>
      <c r="Q4" s="41">
        <f t="shared" si="5"/>
        <v>1.0472204642108425</v>
      </c>
    </row>
    <row r="5" spans="1:17" x14ac:dyDescent="0.3">
      <c r="A5" s="23">
        <v>59.99</v>
      </c>
      <c r="B5" s="23">
        <v>59.99</v>
      </c>
      <c r="C5" s="23">
        <v>179.97</v>
      </c>
      <c r="H5">
        <f t="shared" si="0"/>
        <v>-235.16528925619821</v>
      </c>
      <c r="I5">
        <f t="shared" si="1"/>
        <v>-737.52033057851361</v>
      </c>
      <c r="J5">
        <f t="shared" si="2"/>
        <v>173439.18187282307</v>
      </c>
      <c r="L5">
        <f t="shared" si="3"/>
        <v>55302.713270951375</v>
      </c>
      <c r="P5">
        <f t="shared" si="4"/>
        <v>1.9380315628248468</v>
      </c>
      <c r="Q5" s="41">
        <f t="shared" si="5"/>
        <v>0.99192385897060109</v>
      </c>
    </row>
    <row r="6" spans="1:17" x14ac:dyDescent="0.3">
      <c r="A6" s="23">
        <v>149.99</v>
      </c>
      <c r="B6" s="23">
        <v>149.99</v>
      </c>
      <c r="C6" s="23">
        <v>749.95</v>
      </c>
      <c r="H6">
        <f t="shared" si="0"/>
        <v>-145.16528925619821</v>
      </c>
      <c r="I6">
        <f t="shared" si="1"/>
        <v>-167.54033057851359</v>
      </c>
      <c r="J6">
        <f t="shared" si="2"/>
        <v>24321.040550508995</v>
      </c>
      <c r="L6">
        <f t="shared" si="3"/>
        <v>21072.961204835694</v>
      </c>
      <c r="P6">
        <f t="shared" si="4"/>
        <v>-179.62040585568946</v>
      </c>
      <c r="Q6" s="41">
        <f t="shared" si="5"/>
        <v>2.9960040655149403</v>
      </c>
    </row>
    <row r="7" spans="1:17" x14ac:dyDescent="0.3">
      <c r="A7" s="23">
        <v>59.99</v>
      </c>
      <c r="B7" s="23">
        <v>59.99</v>
      </c>
      <c r="C7" s="23">
        <v>119.98</v>
      </c>
      <c r="H7">
        <f t="shared" si="0"/>
        <v>-235.16528925619821</v>
      </c>
      <c r="I7">
        <f t="shared" si="1"/>
        <v>-797.51033057851362</v>
      </c>
      <c r="J7">
        <f t="shared" si="2"/>
        <v>187546.7475753024</v>
      </c>
      <c r="L7">
        <f t="shared" si="3"/>
        <v>55302.713270951375</v>
      </c>
      <c r="P7">
        <f t="shared" si="4"/>
        <v>-95.925088385062736</v>
      </c>
      <c r="Q7" s="41">
        <f t="shared" si="5"/>
        <v>1.0456792660776406</v>
      </c>
    </row>
    <row r="8" spans="1:17" x14ac:dyDescent="0.3">
      <c r="A8" s="23">
        <v>149.99</v>
      </c>
      <c r="B8" s="23">
        <v>149.99</v>
      </c>
      <c r="C8" s="23">
        <v>749.95</v>
      </c>
      <c r="H8">
        <f t="shared" si="0"/>
        <v>-145.16528925619821</v>
      </c>
      <c r="I8">
        <f t="shared" si="1"/>
        <v>-167.54033057851359</v>
      </c>
      <c r="J8">
        <f t="shared" si="2"/>
        <v>24321.040550508995</v>
      </c>
      <c r="L8">
        <f t="shared" si="3"/>
        <v>21072.961204835694</v>
      </c>
      <c r="P8">
        <f t="shared" si="4"/>
        <v>-89.630405855689474</v>
      </c>
      <c r="Q8" s="41">
        <f t="shared" si="5"/>
        <v>1.4980020327574701</v>
      </c>
    </row>
    <row r="9" spans="1:17" x14ac:dyDescent="0.3">
      <c r="A9" s="23">
        <v>59.99</v>
      </c>
      <c r="B9" s="23">
        <v>59.99</v>
      </c>
      <c r="C9" s="23">
        <v>179.97</v>
      </c>
      <c r="H9">
        <f t="shared" si="0"/>
        <v>-235.16528925619821</v>
      </c>
      <c r="I9">
        <f t="shared" si="1"/>
        <v>-737.52033057851361</v>
      </c>
      <c r="J9">
        <f t="shared" si="2"/>
        <v>173439.18187282307</v>
      </c>
      <c r="L9">
        <f t="shared" si="3"/>
        <v>55302.713270951375</v>
      </c>
      <c r="P9">
        <f t="shared" si="4"/>
        <v>0.35959414431056302</v>
      </c>
      <c r="Q9" s="41">
        <f t="shared" si="5"/>
        <v>0.99866802183831327</v>
      </c>
    </row>
    <row r="10" spans="1:17" x14ac:dyDescent="0.3">
      <c r="A10" s="23">
        <v>899.99</v>
      </c>
      <c r="B10" s="23">
        <v>899.99</v>
      </c>
      <c r="C10" s="23">
        <v>2699.97</v>
      </c>
      <c r="H10">
        <f t="shared" si="0"/>
        <v>604.83471074380179</v>
      </c>
      <c r="I10">
        <f t="shared" si="1"/>
        <v>1782.4796694214861</v>
      </c>
      <c r="J10">
        <f t="shared" si="2"/>
        <v>1078105.575261252</v>
      </c>
      <c r="L10">
        <f t="shared" si="3"/>
        <v>365825.02732053836</v>
      </c>
      <c r="Q10" s="42">
        <f>AVERAGE(Q2:Q9)</f>
        <v>1.455502330155467</v>
      </c>
    </row>
    <row r="11" spans="1:17" x14ac:dyDescent="0.3">
      <c r="A11" s="23">
        <v>59.99</v>
      </c>
      <c r="B11" s="23">
        <v>59.99</v>
      </c>
      <c r="C11" s="23">
        <v>179.97</v>
      </c>
      <c r="H11">
        <f t="shared" si="0"/>
        <v>-235.16528925619821</v>
      </c>
      <c r="I11">
        <f t="shared" si="1"/>
        <v>-737.52033057851361</v>
      </c>
      <c r="J11">
        <f t="shared" si="2"/>
        <v>173439.18187282307</v>
      </c>
      <c r="L11">
        <f t="shared" si="3"/>
        <v>55302.713270951375</v>
      </c>
    </row>
    <row r="12" spans="1:17" x14ac:dyDescent="0.3">
      <c r="A12" s="23">
        <v>149.99</v>
      </c>
      <c r="B12" s="23">
        <v>149.99</v>
      </c>
      <c r="C12" s="23">
        <v>149.99</v>
      </c>
      <c r="H12">
        <f t="shared" si="0"/>
        <v>-145.16528925619821</v>
      </c>
      <c r="I12">
        <f t="shared" si="1"/>
        <v>-767.50033057851363</v>
      </c>
      <c r="J12">
        <f t="shared" si="2"/>
        <v>111414.40749265767</v>
      </c>
      <c r="L12">
        <f t="shared" si="3"/>
        <v>21072.961204835694</v>
      </c>
    </row>
    <row r="13" spans="1:17" x14ac:dyDescent="0.3">
      <c r="A13" s="23">
        <v>149.99</v>
      </c>
      <c r="B13" s="23">
        <v>149.99</v>
      </c>
      <c r="C13" s="23">
        <v>749.95</v>
      </c>
      <c r="H13">
        <f t="shared" si="0"/>
        <v>-145.16528925619821</v>
      </c>
      <c r="I13">
        <f t="shared" si="1"/>
        <v>-167.54033057851359</v>
      </c>
      <c r="J13">
        <f t="shared" si="2"/>
        <v>24321.040550508995</v>
      </c>
      <c r="L13">
        <f t="shared" si="3"/>
        <v>21072.961204835694</v>
      </c>
    </row>
    <row r="14" spans="1:17" x14ac:dyDescent="0.3">
      <c r="A14" s="23">
        <v>149.99</v>
      </c>
      <c r="B14" s="23">
        <v>149.99</v>
      </c>
      <c r="C14" s="23">
        <v>449.97</v>
      </c>
      <c r="H14">
        <f t="shared" si="0"/>
        <v>-145.16528925619821</v>
      </c>
      <c r="I14">
        <f t="shared" si="1"/>
        <v>-467.52033057851361</v>
      </c>
      <c r="J14">
        <f t="shared" si="2"/>
        <v>67867.72402158333</v>
      </c>
      <c r="L14">
        <f t="shared" si="3"/>
        <v>21072.961204835694</v>
      </c>
    </row>
    <row r="15" spans="1:17" x14ac:dyDescent="0.3">
      <c r="A15" s="23">
        <v>59.99</v>
      </c>
      <c r="B15" s="23">
        <v>59.99</v>
      </c>
      <c r="C15" s="23">
        <v>179.97</v>
      </c>
      <c r="H15">
        <f t="shared" si="0"/>
        <v>-235.16528925619821</v>
      </c>
      <c r="I15">
        <f t="shared" si="1"/>
        <v>-737.52033057851361</v>
      </c>
      <c r="J15">
        <f t="shared" si="2"/>
        <v>173439.18187282307</v>
      </c>
      <c r="L15">
        <f t="shared" si="3"/>
        <v>55302.713270951375</v>
      </c>
    </row>
    <row r="16" spans="1:17" x14ac:dyDescent="0.3">
      <c r="A16" s="23">
        <v>699.99</v>
      </c>
      <c r="B16" s="23">
        <v>699.99</v>
      </c>
      <c r="C16" s="23">
        <v>2099.9699999999998</v>
      </c>
      <c r="H16">
        <f t="shared" si="0"/>
        <v>404.83471074380179</v>
      </c>
      <c r="I16">
        <f t="shared" si="1"/>
        <v>1182.4796694214861</v>
      </c>
      <c r="J16">
        <f t="shared" si="2"/>
        <v>478708.81493067369</v>
      </c>
      <c r="L16">
        <f t="shared" si="3"/>
        <v>163891.14302301768</v>
      </c>
    </row>
    <row r="17" spans="1:12" x14ac:dyDescent="0.3">
      <c r="A17" s="23">
        <v>899.99</v>
      </c>
      <c r="B17" s="23">
        <v>899.99</v>
      </c>
      <c r="C17" s="23">
        <v>899.99</v>
      </c>
      <c r="H17">
        <f t="shared" si="0"/>
        <v>604.83471074380179</v>
      </c>
      <c r="I17">
        <f t="shared" si="1"/>
        <v>-17.500330578513626</v>
      </c>
      <c r="J17">
        <f t="shared" si="2"/>
        <v>-10584.807383376199</v>
      </c>
      <c r="L17">
        <f t="shared" si="3"/>
        <v>365825.02732053836</v>
      </c>
    </row>
    <row r="18" spans="1:12" x14ac:dyDescent="0.3">
      <c r="A18" s="23">
        <v>149.99</v>
      </c>
      <c r="B18" s="23">
        <v>149.99</v>
      </c>
      <c r="C18" s="23">
        <v>599.96</v>
      </c>
      <c r="H18">
        <f t="shared" si="0"/>
        <v>-145.16528925619821</v>
      </c>
      <c r="I18">
        <f t="shared" si="1"/>
        <v>-317.5303305785136</v>
      </c>
      <c r="J18">
        <f t="shared" si="2"/>
        <v>46094.382286046166</v>
      </c>
      <c r="L18">
        <f t="shared" si="3"/>
        <v>21072.961204835694</v>
      </c>
    </row>
    <row r="19" spans="1:12" x14ac:dyDescent="0.3">
      <c r="A19" s="23">
        <v>699.99</v>
      </c>
      <c r="B19" s="23">
        <v>699.99</v>
      </c>
      <c r="C19" s="23">
        <v>1399.98</v>
      </c>
      <c r="H19">
        <f t="shared" si="0"/>
        <v>404.83471074380179</v>
      </c>
      <c r="I19">
        <f t="shared" si="1"/>
        <v>482.48966942148638</v>
      </c>
      <c r="J19">
        <f t="shared" si="2"/>
        <v>195328.56575712</v>
      </c>
      <c r="L19">
        <f t="shared" si="3"/>
        <v>163891.14302301768</v>
      </c>
    </row>
    <row r="20" spans="1:12" x14ac:dyDescent="0.3">
      <c r="A20" s="23">
        <v>899.99</v>
      </c>
      <c r="B20" s="23">
        <v>899.99</v>
      </c>
      <c r="C20" s="23">
        <v>3599.96</v>
      </c>
      <c r="H20">
        <f t="shared" si="0"/>
        <v>604.83471074380179</v>
      </c>
      <c r="I20">
        <f t="shared" si="1"/>
        <v>2682.4696694214863</v>
      </c>
      <c r="J20">
        <f t="shared" si="2"/>
        <v>1622450.7665835663</v>
      </c>
      <c r="L20">
        <f t="shared" si="3"/>
        <v>365825.02732053836</v>
      </c>
    </row>
    <row r="21" spans="1:12" x14ac:dyDescent="0.3">
      <c r="A21" s="23">
        <v>249.99</v>
      </c>
      <c r="B21" s="23">
        <v>249.99</v>
      </c>
      <c r="C21" s="23">
        <v>749.97</v>
      </c>
      <c r="H21">
        <f t="shared" si="0"/>
        <v>-45.165289256198207</v>
      </c>
      <c r="I21">
        <f t="shared" si="1"/>
        <v>-167.52033057851361</v>
      </c>
      <c r="J21">
        <f t="shared" si="2"/>
        <v>7566.1041868725124</v>
      </c>
      <c r="L21">
        <f t="shared" si="3"/>
        <v>2039.9033535960532</v>
      </c>
    </row>
    <row r="22" spans="1:12" x14ac:dyDescent="0.3">
      <c r="A22" s="23">
        <v>699.99</v>
      </c>
      <c r="B22" s="23">
        <v>699.99</v>
      </c>
      <c r="C22" s="23">
        <v>3499.95</v>
      </c>
      <c r="H22">
        <f t="shared" si="0"/>
        <v>404.83471074380179</v>
      </c>
      <c r="I22">
        <f t="shared" si="1"/>
        <v>2582.4596694214861</v>
      </c>
      <c r="J22">
        <f t="shared" si="2"/>
        <v>1045469.3132777814</v>
      </c>
      <c r="L22">
        <f t="shared" si="3"/>
        <v>163891.14302301768</v>
      </c>
    </row>
    <row r="23" spans="1:12" x14ac:dyDescent="0.3">
      <c r="A23" s="23">
        <v>699.99</v>
      </c>
      <c r="B23" s="23">
        <v>699.99</v>
      </c>
      <c r="C23" s="23">
        <v>2799.96</v>
      </c>
      <c r="H23">
        <f t="shared" si="0"/>
        <v>404.83471074380179</v>
      </c>
      <c r="I23">
        <f t="shared" si="1"/>
        <v>1882.4696694214863</v>
      </c>
      <c r="J23">
        <f t="shared" si="2"/>
        <v>762089.06410422758</v>
      </c>
      <c r="L23">
        <f t="shared" si="3"/>
        <v>163891.14302301768</v>
      </c>
    </row>
    <row r="24" spans="1:12" x14ac:dyDescent="0.3">
      <c r="A24" s="23">
        <v>249.99</v>
      </c>
      <c r="B24" s="23">
        <v>249.99</v>
      </c>
      <c r="C24" s="23">
        <v>999.96</v>
      </c>
      <c r="H24">
        <f t="shared" si="0"/>
        <v>-45.165289256198207</v>
      </c>
      <c r="I24">
        <f t="shared" si="1"/>
        <v>82.469669421486401</v>
      </c>
      <c r="J24">
        <f t="shared" si="2"/>
        <v>-3724.7664742844777</v>
      </c>
      <c r="L24">
        <f t="shared" si="3"/>
        <v>2039.9033535960532</v>
      </c>
    </row>
    <row r="25" spans="1:12" x14ac:dyDescent="0.3">
      <c r="A25" s="23">
        <v>299.99</v>
      </c>
      <c r="B25" s="23">
        <v>299.99</v>
      </c>
      <c r="C25" s="23">
        <v>1199.96</v>
      </c>
      <c r="H25">
        <f t="shared" si="0"/>
        <v>4.8347107438017929</v>
      </c>
      <c r="I25">
        <f t="shared" si="1"/>
        <v>282.4696694214864</v>
      </c>
      <c r="J25">
        <f t="shared" si="2"/>
        <v>1365.6591455502012</v>
      </c>
      <c r="L25">
        <f t="shared" si="3"/>
        <v>23.374427976232486</v>
      </c>
    </row>
    <row r="26" spans="1:12" x14ac:dyDescent="0.3">
      <c r="A26" s="23">
        <v>249.99</v>
      </c>
      <c r="B26" s="23">
        <v>249.99</v>
      </c>
      <c r="C26" s="23">
        <v>1249.95</v>
      </c>
      <c r="H26">
        <f t="shared" si="0"/>
        <v>-45.165289256198207</v>
      </c>
      <c r="I26">
        <f t="shared" si="1"/>
        <v>332.45966942148641</v>
      </c>
      <c r="J26">
        <f t="shared" si="2"/>
        <v>-15015.637135441468</v>
      </c>
      <c r="L26">
        <f t="shared" si="3"/>
        <v>2039.9033535960532</v>
      </c>
    </row>
    <row r="27" spans="1:12" x14ac:dyDescent="0.3">
      <c r="A27" s="23">
        <v>299.99</v>
      </c>
      <c r="B27" s="23">
        <v>299.99</v>
      </c>
      <c r="C27" s="23">
        <v>1499.95</v>
      </c>
      <c r="H27">
        <f t="shared" si="0"/>
        <v>4.8347107438017929</v>
      </c>
      <c r="I27">
        <f t="shared" si="1"/>
        <v>582.45966942148641</v>
      </c>
      <c r="J27">
        <f t="shared" si="2"/>
        <v>2816.024021583301</v>
      </c>
      <c r="L27">
        <f t="shared" si="3"/>
        <v>23.374427976232486</v>
      </c>
    </row>
    <row r="28" spans="1:12" x14ac:dyDescent="0.3">
      <c r="A28" s="23">
        <v>79.989999999999995</v>
      </c>
      <c r="B28" s="23">
        <v>79.989999999999995</v>
      </c>
      <c r="C28" s="23">
        <v>239.97</v>
      </c>
      <c r="H28">
        <f t="shared" si="0"/>
        <v>-215.16528925619821</v>
      </c>
      <c r="I28">
        <f t="shared" si="1"/>
        <v>-677.52033057851361</v>
      </c>
      <c r="J28">
        <f t="shared" si="2"/>
        <v>145778.8579058809</v>
      </c>
      <c r="L28">
        <f t="shared" si="3"/>
        <v>46296.101700703446</v>
      </c>
    </row>
    <row r="29" spans="1:12" x14ac:dyDescent="0.3">
      <c r="A29" s="23">
        <v>89.99</v>
      </c>
      <c r="B29" s="23">
        <v>89.99</v>
      </c>
      <c r="C29" s="23">
        <v>449.95</v>
      </c>
      <c r="H29">
        <f t="shared" si="0"/>
        <v>-205.16528925619821</v>
      </c>
      <c r="I29">
        <f t="shared" si="1"/>
        <v>-467.54033057851365</v>
      </c>
      <c r="J29">
        <f t="shared" si="2"/>
        <v>95923.047162079281</v>
      </c>
      <c r="L29">
        <f t="shared" si="3"/>
        <v>42092.795915579482</v>
      </c>
    </row>
    <row r="30" spans="1:12" x14ac:dyDescent="0.3">
      <c r="A30" s="23">
        <v>59.99</v>
      </c>
      <c r="B30" s="23">
        <v>59.99</v>
      </c>
      <c r="C30" s="23">
        <v>119.98</v>
      </c>
      <c r="H30">
        <f t="shared" si="0"/>
        <v>-235.16528925619821</v>
      </c>
      <c r="I30">
        <f t="shared" si="1"/>
        <v>-797.51033057851362</v>
      </c>
      <c r="J30">
        <f t="shared" si="2"/>
        <v>187546.7475753024</v>
      </c>
      <c r="L30">
        <f t="shared" si="3"/>
        <v>55302.713270951375</v>
      </c>
    </row>
    <row r="31" spans="1:12" x14ac:dyDescent="0.3">
      <c r="A31" s="23">
        <v>59.99</v>
      </c>
      <c r="B31" s="23">
        <v>59.99</v>
      </c>
      <c r="C31" s="23">
        <v>239.96</v>
      </c>
      <c r="H31">
        <f t="shared" si="0"/>
        <v>-235.16528925619821</v>
      </c>
      <c r="I31">
        <f t="shared" si="1"/>
        <v>-677.5303305785136</v>
      </c>
      <c r="J31">
        <f t="shared" si="2"/>
        <v>159331.61617034374</v>
      </c>
      <c r="L31">
        <f t="shared" si="3"/>
        <v>55302.713270951375</v>
      </c>
    </row>
    <row r="32" spans="1:12" x14ac:dyDescent="0.3">
      <c r="A32" s="23">
        <v>199.99</v>
      </c>
      <c r="B32" s="23">
        <v>199.99</v>
      </c>
      <c r="C32" s="23">
        <v>999.95</v>
      </c>
      <c r="H32">
        <f t="shared" si="0"/>
        <v>-95.165289256198207</v>
      </c>
      <c r="I32">
        <f t="shared" si="1"/>
        <v>82.45966942148641</v>
      </c>
      <c r="J32">
        <f t="shared" si="2"/>
        <v>-7847.2982924662365</v>
      </c>
      <c r="L32">
        <f t="shared" si="3"/>
        <v>9056.4322792158746</v>
      </c>
    </row>
    <row r="33" spans="1:12" x14ac:dyDescent="0.3">
      <c r="A33" s="23">
        <v>149.99</v>
      </c>
      <c r="B33" s="23">
        <v>149.99</v>
      </c>
      <c r="C33" s="23">
        <v>299.98</v>
      </c>
      <c r="H33">
        <f t="shared" si="0"/>
        <v>-145.16528925619821</v>
      </c>
      <c r="I33">
        <f t="shared" si="1"/>
        <v>-617.51033057851362</v>
      </c>
      <c r="J33">
        <f t="shared" si="2"/>
        <v>89641.065757120508</v>
      </c>
      <c r="L33">
        <f t="shared" si="3"/>
        <v>21072.961204835694</v>
      </c>
    </row>
    <row r="34" spans="1:12" x14ac:dyDescent="0.3">
      <c r="A34" s="23">
        <v>149.99</v>
      </c>
      <c r="B34" s="23">
        <v>149.99</v>
      </c>
      <c r="C34" s="23">
        <v>449.97</v>
      </c>
      <c r="H34">
        <f t="shared" si="0"/>
        <v>-145.16528925619821</v>
      </c>
      <c r="I34">
        <f t="shared" si="1"/>
        <v>-467.52033057851361</v>
      </c>
      <c r="J34">
        <f t="shared" si="2"/>
        <v>67867.72402158333</v>
      </c>
      <c r="L34">
        <f t="shared" si="3"/>
        <v>21072.961204835694</v>
      </c>
    </row>
    <row r="35" spans="1:12" x14ac:dyDescent="0.3">
      <c r="A35" s="23">
        <v>899.99</v>
      </c>
      <c r="B35" s="23">
        <v>899.99</v>
      </c>
      <c r="C35" s="23">
        <v>899.99</v>
      </c>
      <c r="H35">
        <f t="shared" si="0"/>
        <v>604.83471074380179</v>
      </c>
      <c r="I35">
        <f t="shared" si="1"/>
        <v>-17.500330578513626</v>
      </c>
      <c r="J35">
        <f t="shared" si="2"/>
        <v>-10584.807383376199</v>
      </c>
      <c r="L35">
        <f t="shared" si="3"/>
        <v>365825.02732053836</v>
      </c>
    </row>
    <row r="36" spans="1:12" x14ac:dyDescent="0.3">
      <c r="A36" s="23">
        <v>299.99</v>
      </c>
      <c r="B36" s="23">
        <v>299.99</v>
      </c>
      <c r="C36" s="23">
        <v>899.97</v>
      </c>
      <c r="H36">
        <f t="shared" si="0"/>
        <v>4.8347107438017929</v>
      </c>
      <c r="I36">
        <f t="shared" si="1"/>
        <v>-17.520330578513608</v>
      </c>
      <c r="J36">
        <f t="shared" si="2"/>
        <v>-84.705730482898829</v>
      </c>
      <c r="L36">
        <f t="shared" si="3"/>
        <v>23.374427976232486</v>
      </c>
    </row>
    <row r="37" spans="1:12" x14ac:dyDescent="0.3">
      <c r="A37" s="23">
        <v>79.989999999999995</v>
      </c>
      <c r="B37" s="23">
        <v>79.989999999999995</v>
      </c>
      <c r="C37" s="23">
        <v>239.97</v>
      </c>
      <c r="H37">
        <f t="shared" si="0"/>
        <v>-215.16528925619821</v>
      </c>
      <c r="I37">
        <f t="shared" si="1"/>
        <v>-677.52033057851361</v>
      </c>
      <c r="J37">
        <f t="shared" si="2"/>
        <v>145778.8579058809</v>
      </c>
      <c r="L37">
        <f t="shared" si="3"/>
        <v>46296.101700703446</v>
      </c>
    </row>
    <row r="38" spans="1:12" x14ac:dyDescent="0.3">
      <c r="A38" s="23">
        <v>199.99</v>
      </c>
      <c r="B38" s="23">
        <v>199.99</v>
      </c>
      <c r="C38" s="23">
        <v>599.97</v>
      </c>
      <c r="H38">
        <f t="shared" si="0"/>
        <v>-95.165289256198207</v>
      </c>
      <c r="I38">
        <f t="shared" si="1"/>
        <v>-317.52033057851361</v>
      </c>
      <c r="J38">
        <f t="shared" si="2"/>
        <v>30216.914104227923</v>
      </c>
      <c r="L38">
        <f t="shared" si="3"/>
        <v>9056.4322792158746</v>
      </c>
    </row>
    <row r="39" spans="1:12" x14ac:dyDescent="0.3">
      <c r="A39" s="23">
        <v>699.99</v>
      </c>
      <c r="B39" s="23">
        <v>699.99</v>
      </c>
      <c r="C39" s="23">
        <v>3499.95</v>
      </c>
      <c r="H39">
        <f t="shared" si="0"/>
        <v>404.83471074380179</v>
      </c>
      <c r="I39">
        <f t="shared" si="1"/>
        <v>2582.4596694214861</v>
      </c>
      <c r="J39">
        <f t="shared" si="2"/>
        <v>1045469.3132777814</v>
      </c>
      <c r="L39">
        <f t="shared" si="3"/>
        <v>163891.14302301768</v>
      </c>
    </row>
    <row r="40" spans="1:12" x14ac:dyDescent="0.3">
      <c r="A40" s="23">
        <v>89.99</v>
      </c>
      <c r="B40" s="23">
        <v>89.99</v>
      </c>
      <c r="C40" s="23">
        <v>269.97000000000003</v>
      </c>
      <c r="H40">
        <f t="shared" si="0"/>
        <v>-205.16528925619821</v>
      </c>
      <c r="I40">
        <f t="shared" si="1"/>
        <v>-647.52033057851361</v>
      </c>
      <c r="J40">
        <f t="shared" si="2"/>
        <v>132848.69592240982</v>
      </c>
      <c r="L40">
        <f t="shared" si="3"/>
        <v>42092.795915579482</v>
      </c>
    </row>
    <row r="41" spans="1:12" x14ac:dyDescent="0.3">
      <c r="A41" s="23">
        <v>79.989999999999995</v>
      </c>
      <c r="B41" s="23">
        <v>79.989999999999995</v>
      </c>
      <c r="C41" s="23">
        <v>79.989999999999995</v>
      </c>
      <c r="H41">
        <f t="shared" si="0"/>
        <v>-215.16528925619821</v>
      </c>
      <c r="I41">
        <f t="shared" si="1"/>
        <v>-837.50033057851363</v>
      </c>
      <c r="J41">
        <f t="shared" si="2"/>
        <v>180201.0008810875</v>
      </c>
      <c r="L41">
        <f t="shared" si="3"/>
        <v>46296.101700703446</v>
      </c>
    </row>
    <row r="42" spans="1:12" x14ac:dyDescent="0.3">
      <c r="A42" s="23">
        <v>59.99</v>
      </c>
      <c r="B42" s="23">
        <v>59.99</v>
      </c>
      <c r="C42" s="23">
        <v>119.98</v>
      </c>
      <c r="H42">
        <f t="shared" si="0"/>
        <v>-235.16528925619821</v>
      </c>
      <c r="I42">
        <f t="shared" si="1"/>
        <v>-797.51033057851362</v>
      </c>
      <c r="J42">
        <f t="shared" si="2"/>
        <v>187546.7475753024</v>
      </c>
      <c r="L42">
        <f t="shared" si="3"/>
        <v>55302.713270951375</v>
      </c>
    </row>
    <row r="43" spans="1:12" x14ac:dyDescent="0.3">
      <c r="A43" s="23">
        <v>89.99</v>
      </c>
      <c r="B43" s="23">
        <v>89.99</v>
      </c>
      <c r="C43" s="23">
        <v>89.99</v>
      </c>
      <c r="H43">
        <f t="shared" si="0"/>
        <v>-205.16528925619821</v>
      </c>
      <c r="I43">
        <f t="shared" si="1"/>
        <v>-827.50033057851363</v>
      </c>
      <c r="J43">
        <f t="shared" si="2"/>
        <v>169774.3446827404</v>
      </c>
      <c r="L43">
        <f t="shared" si="3"/>
        <v>42092.795915579482</v>
      </c>
    </row>
    <row r="44" spans="1:12" x14ac:dyDescent="0.3">
      <c r="A44" s="23">
        <v>89.99</v>
      </c>
      <c r="B44" s="23">
        <v>89.99</v>
      </c>
      <c r="C44" s="23">
        <v>449.95</v>
      </c>
      <c r="H44">
        <f t="shared" si="0"/>
        <v>-205.16528925619821</v>
      </c>
      <c r="I44">
        <f t="shared" si="1"/>
        <v>-467.54033057851365</v>
      </c>
      <c r="J44">
        <f t="shared" si="2"/>
        <v>95923.047162079281</v>
      </c>
      <c r="L44">
        <f t="shared" si="3"/>
        <v>42092.795915579482</v>
      </c>
    </row>
    <row r="45" spans="1:12" x14ac:dyDescent="0.3">
      <c r="A45" s="23">
        <v>249.99</v>
      </c>
      <c r="B45" s="23">
        <v>249.99</v>
      </c>
      <c r="C45" s="23">
        <v>1249.95</v>
      </c>
      <c r="H45">
        <f t="shared" si="0"/>
        <v>-45.165289256198207</v>
      </c>
      <c r="I45">
        <f t="shared" si="1"/>
        <v>332.45966942148641</v>
      </c>
      <c r="J45">
        <f t="shared" si="2"/>
        <v>-15015.637135441468</v>
      </c>
      <c r="L45">
        <f t="shared" si="3"/>
        <v>2039.9033535960532</v>
      </c>
    </row>
    <row r="46" spans="1:12" x14ac:dyDescent="0.3">
      <c r="A46" s="23">
        <v>89.99</v>
      </c>
      <c r="B46" s="23">
        <v>89.99</v>
      </c>
      <c r="C46" s="23">
        <v>89.99</v>
      </c>
      <c r="H46">
        <f t="shared" si="0"/>
        <v>-205.16528925619821</v>
      </c>
      <c r="I46">
        <f t="shared" si="1"/>
        <v>-827.50033057851363</v>
      </c>
      <c r="J46">
        <f t="shared" si="2"/>
        <v>169774.3446827404</v>
      </c>
      <c r="L46">
        <f t="shared" si="3"/>
        <v>42092.795915579482</v>
      </c>
    </row>
    <row r="47" spans="1:12" x14ac:dyDescent="0.3">
      <c r="A47" s="23">
        <v>149.99</v>
      </c>
      <c r="B47" s="23">
        <v>149.99</v>
      </c>
      <c r="C47" s="23">
        <v>299.98</v>
      </c>
      <c r="H47">
        <f t="shared" si="0"/>
        <v>-145.16528925619821</v>
      </c>
      <c r="I47">
        <f t="shared" si="1"/>
        <v>-617.51033057851362</v>
      </c>
      <c r="J47">
        <f t="shared" si="2"/>
        <v>89641.065757120508</v>
      </c>
      <c r="L47">
        <f t="shared" si="3"/>
        <v>21072.961204835694</v>
      </c>
    </row>
    <row r="48" spans="1:12" x14ac:dyDescent="0.3">
      <c r="A48" s="23">
        <v>59.99</v>
      </c>
      <c r="B48" s="23">
        <v>59.99</v>
      </c>
      <c r="C48" s="23">
        <v>239.96</v>
      </c>
      <c r="H48">
        <f t="shared" si="0"/>
        <v>-235.16528925619821</v>
      </c>
      <c r="I48">
        <f t="shared" si="1"/>
        <v>-677.5303305785136</v>
      </c>
      <c r="J48">
        <f t="shared" si="2"/>
        <v>159331.61617034374</v>
      </c>
      <c r="L48">
        <f t="shared" si="3"/>
        <v>55302.713270951375</v>
      </c>
    </row>
    <row r="49" spans="1:12" x14ac:dyDescent="0.3">
      <c r="A49" s="23">
        <v>89.99</v>
      </c>
      <c r="B49" s="23">
        <v>89.99</v>
      </c>
      <c r="C49" s="23">
        <v>449.95</v>
      </c>
      <c r="H49">
        <f t="shared" si="0"/>
        <v>-205.16528925619821</v>
      </c>
      <c r="I49">
        <f t="shared" si="1"/>
        <v>-467.54033057851365</v>
      </c>
      <c r="J49">
        <f t="shared" si="2"/>
        <v>95923.047162079281</v>
      </c>
      <c r="L49">
        <f t="shared" si="3"/>
        <v>42092.795915579482</v>
      </c>
    </row>
    <row r="50" spans="1:12" x14ac:dyDescent="0.3">
      <c r="A50" s="23">
        <v>89.99</v>
      </c>
      <c r="B50" s="23">
        <v>89.99</v>
      </c>
      <c r="C50" s="23">
        <v>179.98</v>
      </c>
      <c r="H50">
        <f t="shared" si="0"/>
        <v>-205.16528925619821</v>
      </c>
      <c r="I50">
        <f t="shared" si="1"/>
        <v>-737.51033057851362</v>
      </c>
      <c r="J50">
        <f t="shared" si="2"/>
        <v>151311.52030257511</v>
      </c>
      <c r="L50">
        <f t="shared" si="3"/>
        <v>42092.795915579482</v>
      </c>
    </row>
    <row r="51" spans="1:12" x14ac:dyDescent="0.3">
      <c r="A51" s="23">
        <v>899.99</v>
      </c>
      <c r="B51" s="23">
        <v>899.99</v>
      </c>
      <c r="C51" s="23">
        <v>4499.95</v>
      </c>
      <c r="H51">
        <f t="shared" si="0"/>
        <v>604.83471074380179</v>
      </c>
      <c r="I51">
        <f t="shared" si="1"/>
        <v>3582.4596694214861</v>
      </c>
      <c r="J51">
        <f t="shared" si="2"/>
        <v>2166795.9579058802</v>
      </c>
      <c r="L51">
        <f t="shared" si="3"/>
        <v>365825.02732053836</v>
      </c>
    </row>
    <row r="52" spans="1:12" x14ac:dyDescent="0.3">
      <c r="A52" s="23">
        <v>899.99</v>
      </c>
      <c r="B52" s="23">
        <v>899.99</v>
      </c>
      <c r="C52" s="23">
        <v>4499.95</v>
      </c>
      <c r="H52">
        <f t="shared" si="0"/>
        <v>604.83471074380179</v>
      </c>
      <c r="I52">
        <f t="shared" si="1"/>
        <v>3582.4596694214861</v>
      </c>
      <c r="J52">
        <f t="shared" si="2"/>
        <v>2166795.9579058802</v>
      </c>
      <c r="L52">
        <f t="shared" si="3"/>
        <v>365825.02732053836</v>
      </c>
    </row>
    <row r="53" spans="1:12" x14ac:dyDescent="0.3">
      <c r="A53" s="23">
        <v>59.99</v>
      </c>
      <c r="B53" s="23">
        <v>59.99</v>
      </c>
      <c r="C53" s="23">
        <v>59.99</v>
      </c>
      <c r="H53">
        <f t="shared" si="0"/>
        <v>-235.16528925619821</v>
      </c>
      <c r="I53">
        <f t="shared" si="1"/>
        <v>-857.50033057851363</v>
      </c>
      <c r="J53">
        <f t="shared" si="2"/>
        <v>201654.31327778174</v>
      </c>
      <c r="L53">
        <f t="shared" si="3"/>
        <v>55302.713270951375</v>
      </c>
    </row>
    <row r="54" spans="1:12" x14ac:dyDescent="0.3">
      <c r="A54" s="23">
        <v>299.99</v>
      </c>
      <c r="B54" s="23">
        <v>299.99</v>
      </c>
      <c r="C54" s="23">
        <v>599.98</v>
      </c>
      <c r="H54">
        <f t="shared" si="0"/>
        <v>4.8347107438017929</v>
      </c>
      <c r="I54">
        <f t="shared" si="1"/>
        <v>-317.51033057851362</v>
      </c>
      <c r="J54">
        <f t="shared" si="2"/>
        <v>-1535.0706065159986</v>
      </c>
      <c r="L54">
        <f t="shared" si="3"/>
        <v>23.374427976232486</v>
      </c>
    </row>
    <row r="55" spans="1:12" x14ac:dyDescent="0.3">
      <c r="A55" s="23">
        <v>89.99</v>
      </c>
      <c r="B55" s="23">
        <v>89.99</v>
      </c>
      <c r="C55" s="23">
        <v>359.96</v>
      </c>
      <c r="H55">
        <f t="shared" si="0"/>
        <v>-205.16528925619821</v>
      </c>
      <c r="I55">
        <f t="shared" si="1"/>
        <v>-557.53033057851371</v>
      </c>
      <c r="J55">
        <f t="shared" si="2"/>
        <v>114385.87154224457</v>
      </c>
      <c r="L55">
        <f t="shared" si="3"/>
        <v>42092.795915579482</v>
      </c>
    </row>
    <row r="56" spans="1:12" x14ac:dyDescent="0.3">
      <c r="A56" s="23">
        <v>79.989999999999995</v>
      </c>
      <c r="B56" s="23">
        <v>79.989999999999995</v>
      </c>
      <c r="C56" s="23">
        <v>79.989999999999995</v>
      </c>
      <c r="H56">
        <f t="shared" si="0"/>
        <v>-215.16528925619821</v>
      </c>
      <c r="I56">
        <f t="shared" si="1"/>
        <v>-837.50033057851363</v>
      </c>
      <c r="J56">
        <f t="shared" si="2"/>
        <v>180201.0008810875</v>
      </c>
      <c r="L56">
        <f t="shared" si="3"/>
        <v>46296.101700703446</v>
      </c>
    </row>
    <row r="57" spans="1:12" x14ac:dyDescent="0.3">
      <c r="A57" s="23">
        <v>89.99</v>
      </c>
      <c r="B57" s="23">
        <v>89.99</v>
      </c>
      <c r="C57" s="23">
        <v>179.98</v>
      </c>
      <c r="H57">
        <f t="shared" si="0"/>
        <v>-205.16528925619821</v>
      </c>
      <c r="I57">
        <f t="shared" si="1"/>
        <v>-737.51033057851362</v>
      </c>
      <c r="J57">
        <f t="shared" si="2"/>
        <v>151311.52030257511</v>
      </c>
      <c r="L57">
        <f t="shared" si="3"/>
        <v>42092.795915579482</v>
      </c>
    </row>
    <row r="58" spans="1:12" x14ac:dyDescent="0.3">
      <c r="A58" s="23">
        <v>699.99</v>
      </c>
      <c r="B58" s="23">
        <v>699.99</v>
      </c>
      <c r="C58" s="23">
        <v>2099.9699999999998</v>
      </c>
      <c r="H58">
        <f t="shared" si="0"/>
        <v>404.83471074380179</v>
      </c>
      <c r="I58">
        <f t="shared" si="1"/>
        <v>1182.4796694214861</v>
      </c>
      <c r="J58">
        <f t="shared" si="2"/>
        <v>478708.81493067369</v>
      </c>
      <c r="L58">
        <f t="shared" si="3"/>
        <v>163891.14302301768</v>
      </c>
    </row>
    <row r="59" spans="1:12" x14ac:dyDescent="0.3">
      <c r="A59" s="23">
        <v>899.99</v>
      </c>
      <c r="B59" s="23">
        <v>899.99</v>
      </c>
      <c r="C59" s="23">
        <v>3599.96</v>
      </c>
      <c r="H59">
        <f t="shared" si="0"/>
        <v>604.83471074380179</v>
      </c>
      <c r="I59">
        <f t="shared" si="1"/>
        <v>2682.4696694214863</v>
      </c>
      <c r="J59">
        <f t="shared" si="2"/>
        <v>1622450.7665835663</v>
      </c>
      <c r="L59">
        <f t="shared" si="3"/>
        <v>365825.02732053836</v>
      </c>
    </row>
    <row r="60" spans="1:12" x14ac:dyDescent="0.3">
      <c r="A60" s="23">
        <v>149.99</v>
      </c>
      <c r="B60" s="23">
        <v>149.99</v>
      </c>
      <c r="C60" s="23">
        <v>149.99</v>
      </c>
      <c r="H60">
        <f t="shared" si="0"/>
        <v>-145.16528925619821</v>
      </c>
      <c r="I60">
        <f t="shared" si="1"/>
        <v>-767.50033057851363</v>
      </c>
      <c r="J60">
        <f t="shared" si="2"/>
        <v>111414.40749265767</v>
      </c>
      <c r="L60">
        <f t="shared" si="3"/>
        <v>21072.961204835694</v>
      </c>
    </row>
    <row r="61" spans="1:12" x14ac:dyDescent="0.3">
      <c r="A61" s="23">
        <v>89.99</v>
      </c>
      <c r="B61" s="23">
        <v>89.99</v>
      </c>
      <c r="C61" s="23">
        <v>179.98</v>
      </c>
      <c r="H61">
        <f t="shared" si="0"/>
        <v>-205.16528925619821</v>
      </c>
      <c r="I61">
        <f t="shared" si="1"/>
        <v>-737.51033057851362</v>
      </c>
      <c r="J61">
        <f t="shared" si="2"/>
        <v>151311.52030257511</v>
      </c>
      <c r="L61">
        <f t="shared" si="3"/>
        <v>42092.795915579482</v>
      </c>
    </row>
    <row r="62" spans="1:12" x14ac:dyDescent="0.3">
      <c r="A62" s="23">
        <v>89.99</v>
      </c>
      <c r="B62" s="23">
        <v>89.99</v>
      </c>
      <c r="C62" s="23">
        <v>89.99</v>
      </c>
      <c r="H62">
        <f t="shared" si="0"/>
        <v>-205.16528925619821</v>
      </c>
      <c r="I62">
        <f t="shared" si="1"/>
        <v>-827.50033057851363</v>
      </c>
      <c r="J62">
        <f t="shared" si="2"/>
        <v>169774.3446827404</v>
      </c>
      <c r="L62">
        <f t="shared" si="3"/>
        <v>42092.795915579482</v>
      </c>
    </row>
    <row r="63" spans="1:12" x14ac:dyDescent="0.3">
      <c r="A63" s="23">
        <v>89.99</v>
      </c>
      <c r="B63" s="23">
        <v>89.99</v>
      </c>
      <c r="C63" s="23">
        <v>89.99</v>
      </c>
      <c r="H63">
        <f t="shared" si="0"/>
        <v>-205.16528925619821</v>
      </c>
      <c r="I63">
        <f t="shared" si="1"/>
        <v>-827.50033057851363</v>
      </c>
      <c r="J63">
        <f t="shared" si="2"/>
        <v>169774.3446827404</v>
      </c>
      <c r="L63">
        <f t="shared" si="3"/>
        <v>42092.795915579482</v>
      </c>
    </row>
    <row r="64" spans="1:12" x14ac:dyDescent="0.3">
      <c r="A64" s="23">
        <v>79.989999999999995</v>
      </c>
      <c r="B64" s="23">
        <v>79.989999999999995</v>
      </c>
      <c r="C64" s="23">
        <v>399.95</v>
      </c>
      <c r="H64">
        <f t="shared" si="0"/>
        <v>-215.16528925619821</v>
      </c>
      <c r="I64">
        <f t="shared" si="1"/>
        <v>-517.5403305785137</v>
      </c>
      <c r="J64">
        <f t="shared" si="2"/>
        <v>111356.71493067434</v>
      </c>
      <c r="L64">
        <f t="shared" si="3"/>
        <v>46296.101700703446</v>
      </c>
    </row>
    <row r="65" spans="1:12" x14ac:dyDescent="0.3">
      <c r="A65" s="23">
        <v>149.99</v>
      </c>
      <c r="B65" s="23">
        <v>149.99</v>
      </c>
      <c r="C65" s="23">
        <v>149.99</v>
      </c>
      <c r="H65">
        <f t="shared" si="0"/>
        <v>-145.16528925619821</v>
      </c>
      <c r="I65">
        <f t="shared" si="1"/>
        <v>-767.50033057851363</v>
      </c>
      <c r="J65">
        <f t="shared" si="2"/>
        <v>111414.40749265767</v>
      </c>
      <c r="L65">
        <f t="shared" si="3"/>
        <v>21072.961204835694</v>
      </c>
    </row>
    <row r="66" spans="1:12" x14ac:dyDescent="0.3">
      <c r="A66" s="23">
        <v>699.99</v>
      </c>
      <c r="B66" s="23">
        <v>699.99</v>
      </c>
      <c r="C66" s="23">
        <v>1399.98</v>
      </c>
      <c r="H66">
        <f t="shared" si="0"/>
        <v>404.83471074380179</v>
      </c>
      <c r="I66">
        <f t="shared" si="1"/>
        <v>482.48966942148638</v>
      </c>
      <c r="J66">
        <f t="shared" si="2"/>
        <v>195328.56575712</v>
      </c>
      <c r="L66">
        <f t="shared" si="3"/>
        <v>163891.14302301768</v>
      </c>
    </row>
    <row r="67" spans="1:12" x14ac:dyDescent="0.3">
      <c r="A67" s="23">
        <v>89.99</v>
      </c>
      <c r="B67" s="23">
        <v>89.99</v>
      </c>
      <c r="C67" s="23">
        <v>449.95</v>
      </c>
      <c r="H67">
        <f t="shared" ref="H67:H130" si="6">B67-$F$2</f>
        <v>-205.16528925619821</v>
      </c>
      <c r="I67">
        <f t="shared" ref="I67:I130" si="7">C67-$G$2</f>
        <v>-467.54033057851365</v>
      </c>
      <c r="J67">
        <f t="shared" ref="J67:J130" si="8">H67*I67</f>
        <v>95923.047162079281</v>
      </c>
      <c r="L67">
        <f t="shared" ref="L67:L130" si="9">H67*H67</f>
        <v>42092.795915579482</v>
      </c>
    </row>
    <row r="68" spans="1:12" x14ac:dyDescent="0.3">
      <c r="A68" s="23">
        <v>59.99</v>
      </c>
      <c r="B68" s="23">
        <v>59.99</v>
      </c>
      <c r="C68" s="23">
        <v>239.96</v>
      </c>
      <c r="H68">
        <f t="shared" si="6"/>
        <v>-235.16528925619821</v>
      </c>
      <c r="I68">
        <f t="shared" si="7"/>
        <v>-677.5303305785136</v>
      </c>
      <c r="J68">
        <f t="shared" si="8"/>
        <v>159331.61617034374</v>
      </c>
      <c r="L68">
        <f t="shared" si="9"/>
        <v>55302.713270951375</v>
      </c>
    </row>
    <row r="69" spans="1:12" x14ac:dyDescent="0.3">
      <c r="A69" s="23">
        <v>149.99</v>
      </c>
      <c r="B69" s="23">
        <v>149.99</v>
      </c>
      <c r="C69" s="23">
        <v>149.99</v>
      </c>
      <c r="H69">
        <f t="shared" si="6"/>
        <v>-145.16528925619821</v>
      </c>
      <c r="I69">
        <f t="shared" si="7"/>
        <v>-767.50033057851363</v>
      </c>
      <c r="J69">
        <f t="shared" si="8"/>
        <v>111414.40749265767</v>
      </c>
      <c r="L69">
        <f t="shared" si="9"/>
        <v>21072.961204835694</v>
      </c>
    </row>
    <row r="70" spans="1:12" x14ac:dyDescent="0.3">
      <c r="A70" s="23">
        <v>299.99</v>
      </c>
      <c r="B70" s="23">
        <v>299.99</v>
      </c>
      <c r="C70" s="23">
        <v>299.99</v>
      </c>
      <c r="H70">
        <f t="shared" si="6"/>
        <v>4.8347107438017929</v>
      </c>
      <c r="I70">
        <f t="shared" si="7"/>
        <v>-617.50033057851363</v>
      </c>
      <c r="J70">
        <f t="shared" si="8"/>
        <v>-2985.4354825490987</v>
      </c>
      <c r="L70">
        <f t="shared" si="9"/>
        <v>23.374427976232486</v>
      </c>
    </row>
    <row r="71" spans="1:12" x14ac:dyDescent="0.3">
      <c r="A71" s="23">
        <v>199.99</v>
      </c>
      <c r="B71" s="23">
        <v>199.99</v>
      </c>
      <c r="C71" s="23">
        <v>399.98</v>
      </c>
      <c r="H71">
        <f t="shared" si="6"/>
        <v>-95.165289256198207</v>
      </c>
      <c r="I71">
        <f t="shared" si="7"/>
        <v>-517.51033057851362</v>
      </c>
      <c r="J71">
        <f t="shared" si="8"/>
        <v>49249.020302575002</v>
      </c>
      <c r="L71">
        <f t="shared" si="9"/>
        <v>9056.4322792158746</v>
      </c>
    </row>
    <row r="72" spans="1:12" x14ac:dyDescent="0.3">
      <c r="A72" s="23">
        <v>59.99</v>
      </c>
      <c r="B72" s="23">
        <v>59.99</v>
      </c>
      <c r="C72" s="23">
        <v>179.97</v>
      </c>
      <c r="H72">
        <f t="shared" si="6"/>
        <v>-235.16528925619821</v>
      </c>
      <c r="I72">
        <f t="shared" si="7"/>
        <v>-737.52033057851361</v>
      </c>
      <c r="J72">
        <f t="shared" si="8"/>
        <v>173439.18187282307</v>
      </c>
      <c r="L72">
        <f t="shared" si="9"/>
        <v>55302.713270951375</v>
      </c>
    </row>
    <row r="73" spans="1:12" x14ac:dyDescent="0.3">
      <c r="A73" s="23">
        <v>149.99</v>
      </c>
      <c r="B73" s="23">
        <v>149.99</v>
      </c>
      <c r="C73" s="23">
        <v>449.97</v>
      </c>
      <c r="H73">
        <f t="shared" si="6"/>
        <v>-145.16528925619821</v>
      </c>
      <c r="I73">
        <f t="shared" si="7"/>
        <v>-467.52033057851361</v>
      </c>
      <c r="J73">
        <f t="shared" si="8"/>
        <v>67867.72402158333</v>
      </c>
      <c r="L73">
        <f t="shared" si="9"/>
        <v>21072.961204835694</v>
      </c>
    </row>
    <row r="74" spans="1:12" x14ac:dyDescent="0.3">
      <c r="A74" s="23">
        <v>199.99</v>
      </c>
      <c r="B74" s="23">
        <v>199.99</v>
      </c>
      <c r="C74" s="23">
        <v>599.97</v>
      </c>
      <c r="H74">
        <f t="shared" si="6"/>
        <v>-95.165289256198207</v>
      </c>
      <c r="I74">
        <f t="shared" si="7"/>
        <v>-317.52033057851361</v>
      </c>
      <c r="J74">
        <f t="shared" si="8"/>
        <v>30216.914104227923</v>
      </c>
      <c r="L74">
        <f t="shared" si="9"/>
        <v>9056.4322792158746</v>
      </c>
    </row>
    <row r="75" spans="1:12" x14ac:dyDescent="0.3">
      <c r="A75" s="23">
        <v>899.99</v>
      </c>
      <c r="B75" s="23">
        <v>899.99</v>
      </c>
      <c r="C75" s="23">
        <v>899.99</v>
      </c>
      <c r="H75">
        <f t="shared" si="6"/>
        <v>604.83471074380179</v>
      </c>
      <c r="I75">
        <f t="shared" si="7"/>
        <v>-17.500330578513626</v>
      </c>
      <c r="J75">
        <f t="shared" si="8"/>
        <v>-10584.807383376199</v>
      </c>
      <c r="L75">
        <f t="shared" si="9"/>
        <v>365825.02732053836</v>
      </c>
    </row>
    <row r="76" spans="1:12" x14ac:dyDescent="0.3">
      <c r="A76" s="23">
        <v>899.99</v>
      </c>
      <c r="B76" s="23">
        <v>899.99</v>
      </c>
      <c r="C76" s="23">
        <v>4499.95</v>
      </c>
      <c r="H76">
        <f t="shared" si="6"/>
        <v>604.83471074380179</v>
      </c>
      <c r="I76">
        <f t="shared" si="7"/>
        <v>3582.4596694214861</v>
      </c>
      <c r="J76">
        <f t="shared" si="8"/>
        <v>2166795.9579058802</v>
      </c>
      <c r="L76">
        <f t="shared" si="9"/>
        <v>365825.02732053836</v>
      </c>
    </row>
    <row r="77" spans="1:12" x14ac:dyDescent="0.3">
      <c r="A77" s="23">
        <v>59.99</v>
      </c>
      <c r="B77" s="23">
        <v>59.99</v>
      </c>
      <c r="C77" s="23">
        <v>119.98</v>
      </c>
      <c r="H77">
        <f t="shared" si="6"/>
        <v>-235.16528925619821</v>
      </c>
      <c r="I77">
        <f t="shared" si="7"/>
        <v>-797.51033057851362</v>
      </c>
      <c r="J77">
        <f t="shared" si="8"/>
        <v>187546.7475753024</v>
      </c>
      <c r="L77">
        <f t="shared" si="9"/>
        <v>55302.713270951375</v>
      </c>
    </row>
    <row r="78" spans="1:12" x14ac:dyDescent="0.3">
      <c r="A78" s="23">
        <v>249.99</v>
      </c>
      <c r="B78" s="23">
        <v>249.99</v>
      </c>
      <c r="C78" s="23">
        <v>999.96</v>
      </c>
      <c r="H78">
        <f t="shared" si="6"/>
        <v>-45.165289256198207</v>
      </c>
      <c r="I78">
        <f t="shared" si="7"/>
        <v>82.469669421486401</v>
      </c>
      <c r="J78">
        <f t="shared" si="8"/>
        <v>-3724.7664742844777</v>
      </c>
      <c r="L78">
        <f t="shared" si="9"/>
        <v>2039.9033535960532</v>
      </c>
    </row>
    <row r="79" spans="1:12" x14ac:dyDescent="0.3">
      <c r="A79" s="23">
        <v>249.99</v>
      </c>
      <c r="B79" s="23">
        <v>249.99</v>
      </c>
      <c r="C79" s="23">
        <v>499.98</v>
      </c>
      <c r="H79">
        <f t="shared" si="6"/>
        <v>-45.165289256198207</v>
      </c>
      <c r="I79">
        <f t="shared" si="7"/>
        <v>-417.51033057851362</v>
      </c>
      <c r="J79">
        <f t="shared" si="8"/>
        <v>18856.974848029502</v>
      </c>
      <c r="L79">
        <f t="shared" si="9"/>
        <v>2039.9033535960532</v>
      </c>
    </row>
    <row r="80" spans="1:12" x14ac:dyDescent="0.3">
      <c r="A80" s="23">
        <v>299.99</v>
      </c>
      <c r="B80" s="23">
        <v>299.99</v>
      </c>
      <c r="C80" s="23">
        <v>299.99</v>
      </c>
      <c r="H80">
        <f t="shared" si="6"/>
        <v>4.8347107438017929</v>
      </c>
      <c r="I80">
        <f t="shared" si="7"/>
        <v>-617.50033057851363</v>
      </c>
      <c r="J80">
        <f t="shared" si="8"/>
        <v>-2985.4354825490987</v>
      </c>
      <c r="L80">
        <f t="shared" si="9"/>
        <v>23.374427976232486</v>
      </c>
    </row>
    <row r="81" spans="1:12" x14ac:dyDescent="0.3">
      <c r="A81" s="23">
        <v>89.99</v>
      </c>
      <c r="B81" s="23">
        <v>89.99</v>
      </c>
      <c r="C81" s="23">
        <v>179.98</v>
      </c>
      <c r="H81">
        <f t="shared" si="6"/>
        <v>-205.16528925619821</v>
      </c>
      <c r="I81">
        <f t="shared" si="7"/>
        <v>-737.51033057851362</v>
      </c>
      <c r="J81">
        <f t="shared" si="8"/>
        <v>151311.52030257511</v>
      </c>
      <c r="L81">
        <f t="shared" si="9"/>
        <v>42092.795915579482</v>
      </c>
    </row>
    <row r="82" spans="1:12" x14ac:dyDescent="0.3">
      <c r="A82" s="23">
        <v>299.99</v>
      </c>
      <c r="B82" s="23">
        <v>299.99</v>
      </c>
      <c r="C82" s="23">
        <v>899.97</v>
      </c>
      <c r="H82">
        <f t="shared" si="6"/>
        <v>4.8347107438017929</v>
      </c>
      <c r="I82">
        <f t="shared" si="7"/>
        <v>-17.520330578513608</v>
      </c>
      <c r="J82">
        <f t="shared" si="8"/>
        <v>-84.705730482898829</v>
      </c>
      <c r="L82">
        <f t="shared" si="9"/>
        <v>23.374427976232486</v>
      </c>
    </row>
    <row r="83" spans="1:12" x14ac:dyDescent="0.3">
      <c r="A83" s="23">
        <v>699.99</v>
      </c>
      <c r="B83" s="23">
        <v>699.99</v>
      </c>
      <c r="C83" s="23">
        <v>1399.98</v>
      </c>
      <c r="H83">
        <f t="shared" si="6"/>
        <v>404.83471074380179</v>
      </c>
      <c r="I83">
        <f t="shared" si="7"/>
        <v>482.48966942148638</v>
      </c>
      <c r="J83">
        <f t="shared" si="8"/>
        <v>195328.56575712</v>
      </c>
      <c r="L83">
        <f t="shared" si="9"/>
        <v>163891.14302301768</v>
      </c>
    </row>
    <row r="84" spans="1:12" x14ac:dyDescent="0.3">
      <c r="A84" s="23">
        <v>899.99</v>
      </c>
      <c r="B84" s="23">
        <v>899.99</v>
      </c>
      <c r="C84" s="23">
        <v>3599.96</v>
      </c>
      <c r="H84">
        <f t="shared" si="6"/>
        <v>604.83471074380179</v>
      </c>
      <c r="I84">
        <f t="shared" si="7"/>
        <v>2682.4696694214863</v>
      </c>
      <c r="J84">
        <f t="shared" si="8"/>
        <v>1622450.7665835663</v>
      </c>
      <c r="L84">
        <f t="shared" si="9"/>
        <v>365825.02732053836</v>
      </c>
    </row>
    <row r="85" spans="1:12" x14ac:dyDescent="0.3">
      <c r="A85" s="23">
        <v>149.99</v>
      </c>
      <c r="B85" s="23">
        <v>149.99</v>
      </c>
      <c r="C85" s="23">
        <v>299.98</v>
      </c>
      <c r="H85">
        <f t="shared" si="6"/>
        <v>-145.16528925619821</v>
      </c>
      <c r="I85">
        <f t="shared" si="7"/>
        <v>-617.51033057851362</v>
      </c>
      <c r="J85">
        <f t="shared" si="8"/>
        <v>89641.065757120508</v>
      </c>
      <c r="L85">
        <f t="shared" si="9"/>
        <v>21072.961204835694</v>
      </c>
    </row>
    <row r="86" spans="1:12" x14ac:dyDescent="0.3">
      <c r="A86" s="23">
        <v>149.99</v>
      </c>
      <c r="B86" s="23">
        <v>149.99</v>
      </c>
      <c r="C86" s="23">
        <v>299.98</v>
      </c>
      <c r="H86">
        <f t="shared" si="6"/>
        <v>-145.16528925619821</v>
      </c>
      <c r="I86">
        <f t="shared" si="7"/>
        <v>-617.51033057851362</v>
      </c>
      <c r="J86">
        <f t="shared" si="8"/>
        <v>89641.065757120508</v>
      </c>
      <c r="L86">
        <f t="shared" si="9"/>
        <v>21072.961204835694</v>
      </c>
    </row>
    <row r="87" spans="1:12" x14ac:dyDescent="0.3">
      <c r="A87" s="23">
        <v>89.99</v>
      </c>
      <c r="B87" s="23">
        <v>89.99</v>
      </c>
      <c r="C87" s="23">
        <v>89.99</v>
      </c>
      <c r="H87">
        <f t="shared" si="6"/>
        <v>-205.16528925619821</v>
      </c>
      <c r="I87">
        <f t="shared" si="7"/>
        <v>-827.50033057851363</v>
      </c>
      <c r="J87">
        <f t="shared" si="8"/>
        <v>169774.3446827404</v>
      </c>
      <c r="L87">
        <f t="shared" si="9"/>
        <v>42092.795915579482</v>
      </c>
    </row>
    <row r="88" spans="1:12" x14ac:dyDescent="0.3">
      <c r="A88" s="23">
        <v>299.99</v>
      </c>
      <c r="B88" s="23">
        <v>299.99</v>
      </c>
      <c r="C88" s="23">
        <v>1499.95</v>
      </c>
      <c r="H88">
        <f t="shared" si="6"/>
        <v>4.8347107438017929</v>
      </c>
      <c r="I88">
        <f t="shared" si="7"/>
        <v>582.45966942148641</v>
      </c>
      <c r="J88">
        <f t="shared" si="8"/>
        <v>2816.024021583301</v>
      </c>
      <c r="L88">
        <f t="shared" si="9"/>
        <v>23.374427976232486</v>
      </c>
    </row>
    <row r="89" spans="1:12" x14ac:dyDescent="0.3">
      <c r="A89" s="23">
        <v>149.99</v>
      </c>
      <c r="B89" s="23">
        <v>149.99</v>
      </c>
      <c r="C89" s="23">
        <v>599.96</v>
      </c>
      <c r="H89">
        <f t="shared" si="6"/>
        <v>-145.16528925619821</v>
      </c>
      <c r="I89">
        <f t="shared" si="7"/>
        <v>-317.5303305785136</v>
      </c>
      <c r="J89">
        <f t="shared" si="8"/>
        <v>46094.382286046166</v>
      </c>
      <c r="L89">
        <f t="shared" si="9"/>
        <v>21072.961204835694</v>
      </c>
    </row>
    <row r="90" spans="1:12" x14ac:dyDescent="0.3">
      <c r="A90" s="23">
        <v>249.99</v>
      </c>
      <c r="B90" s="23">
        <v>249.99</v>
      </c>
      <c r="C90" s="23">
        <v>1249.95</v>
      </c>
      <c r="H90">
        <f t="shared" si="6"/>
        <v>-45.165289256198207</v>
      </c>
      <c r="I90">
        <f t="shared" si="7"/>
        <v>332.45966942148641</v>
      </c>
      <c r="J90">
        <f t="shared" si="8"/>
        <v>-15015.637135441468</v>
      </c>
      <c r="L90">
        <f t="shared" si="9"/>
        <v>2039.9033535960532</v>
      </c>
    </row>
    <row r="91" spans="1:12" x14ac:dyDescent="0.3">
      <c r="A91" s="23">
        <v>249.99</v>
      </c>
      <c r="B91" s="23">
        <v>249.99</v>
      </c>
      <c r="C91" s="23">
        <v>749.97</v>
      </c>
      <c r="H91">
        <f t="shared" si="6"/>
        <v>-45.165289256198207</v>
      </c>
      <c r="I91">
        <f t="shared" si="7"/>
        <v>-167.52033057851361</v>
      </c>
      <c r="J91">
        <f t="shared" si="8"/>
        <v>7566.1041868725124</v>
      </c>
      <c r="L91">
        <f t="shared" si="9"/>
        <v>2039.9033535960532</v>
      </c>
    </row>
    <row r="92" spans="1:12" x14ac:dyDescent="0.3">
      <c r="A92" s="23">
        <v>199.99</v>
      </c>
      <c r="B92" s="23">
        <v>199.99</v>
      </c>
      <c r="C92" s="23">
        <v>799.96</v>
      </c>
      <c r="H92">
        <f t="shared" si="6"/>
        <v>-95.165289256198207</v>
      </c>
      <c r="I92">
        <f t="shared" si="7"/>
        <v>-117.5303305785136</v>
      </c>
      <c r="J92">
        <f t="shared" si="8"/>
        <v>11184.807905880843</v>
      </c>
      <c r="L92">
        <f t="shared" si="9"/>
        <v>9056.4322792158746</v>
      </c>
    </row>
    <row r="93" spans="1:12" x14ac:dyDescent="0.3">
      <c r="A93" s="23">
        <v>199.99</v>
      </c>
      <c r="B93" s="23">
        <v>199.99</v>
      </c>
      <c r="C93" s="23">
        <v>999.95</v>
      </c>
      <c r="H93">
        <f t="shared" si="6"/>
        <v>-95.165289256198207</v>
      </c>
      <c r="I93">
        <f t="shared" si="7"/>
        <v>82.45966942148641</v>
      </c>
      <c r="J93">
        <f t="shared" si="8"/>
        <v>-7847.2982924662365</v>
      </c>
      <c r="L93">
        <f t="shared" si="9"/>
        <v>9056.4322792158746</v>
      </c>
    </row>
    <row r="94" spans="1:12" x14ac:dyDescent="0.3">
      <c r="A94" s="23">
        <v>89.99</v>
      </c>
      <c r="B94" s="23">
        <v>89.99</v>
      </c>
      <c r="C94" s="23">
        <v>179.98</v>
      </c>
      <c r="H94">
        <f t="shared" si="6"/>
        <v>-205.16528925619821</v>
      </c>
      <c r="I94">
        <f t="shared" si="7"/>
        <v>-737.51033057851362</v>
      </c>
      <c r="J94">
        <f t="shared" si="8"/>
        <v>151311.52030257511</v>
      </c>
      <c r="L94">
        <f t="shared" si="9"/>
        <v>42092.795915579482</v>
      </c>
    </row>
    <row r="95" spans="1:12" x14ac:dyDescent="0.3">
      <c r="A95" s="23">
        <v>899.99</v>
      </c>
      <c r="B95" s="23">
        <v>899.99</v>
      </c>
      <c r="C95" s="23">
        <v>4499.95</v>
      </c>
      <c r="H95">
        <f t="shared" si="6"/>
        <v>604.83471074380179</v>
      </c>
      <c r="I95">
        <f t="shared" si="7"/>
        <v>3582.4596694214861</v>
      </c>
      <c r="J95">
        <f t="shared" si="8"/>
        <v>2166795.9579058802</v>
      </c>
      <c r="L95">
        <f t="shared" si="9"/>
        <v>365825.02732053836</v>
      </c>
    </row>
    <row r="96" spans="1:12" x14ac:dyDescent="0.3">
      <c r="A96" s="23">
        <v>149.99</v>
      </c>
      <c r="B96" s="23">
        <v>149.99</v>
      </c>
      <c r="C96" s="23">
        <v>449.97</v>
      </c>
      <c r="H96">
        <f t="shared" si="6"/>
        <v>-145.16528925619821</v>
      </c>
      <c r="I96">
        <f t="shared" si="7"/>
        <v>-467.52033057851361</v>
      </c>
      <c r="J96">
        <f t="shared" si="8"/>
        <v>67867.72402158333</v>
      </c>
      <c r="L96">
        <f t="shared" si="9"/>
        <v>21072.961204835694</v>
      </c>
    </row>
    <row r="97" spans="1:12" x14ac:dyDescent="0.3">
      <c r="A97" s="23">
        <v>149.99</v>
      </c>
      <c r="B97" s="23">
        <v>149.99</v>
      </c>
      <c r="C97" s="23">
        <v>749.95</v>
      </c>
      <c r="H97">
        <f t="shared" si="6"/>
        <v>-145.16528925619821</v>
      </c>
      <c r="I97">
        <f t="shared" si="7"/>
        <v>-167.54033057851359</v>
      </c>
      <c r="J97">
        <f t="shared" si="8"/>
        <v>24321.040550508995</v>
      </c>
      <c r="L97">
        <f t="shared" si="9"/>
        <v>21072.961204835694</v>
      </c>
    </row>
    <row r="98" spans="1:12" x14ac:dyDescent="0.3">
      <c r="A98" s="23">
        <v>79.989999999999995</v>
      </c>
      <c r="B98" s="23">
        <v>79.989999999999995</v>
      </c>
      <c r="C98" s="23">
        <v>239.97</v>
      </c>
      <c r="H98">
        <f t="shared" si="6"/>
        <v>-215.16528925619821</v>
      </c>
      <c r="I98">
        <f t="shared" si="7"/>
        <v>-677.52033057851361</v>
      </c>
      <c r="J98">
        <f t="shared" si="8"/>
        <v>145778.8579058809</v>
      </c>
      <c r="L98">
        <f t="shared" si="9"/>
        <v>46296.101700703446</v>
      </c>
    </row>
    <row r="99" spans="1:12" x14ac:dyDescent="0.3">
      <c r="A99" s="23">
        <v>249.99</v>
      </c>
      <c r="B99" s="23">
        <v>249.99</v>
      </c>
      <c r="C99" s="23">
        <v>499.98</v>
      </c>
      <c r="H99">
        <f t="shared" si="6"/>
        <v>-45.165289256198207</v>
      </c>
      <c r="I99">
        <f t="shared" si="7"/>
        <v>-417.51033057851362</v>
      </c>
      <c r="J99">
        <f t="shared" si="8"/>
        <v>18856.974848029502</v>
      </c>
      <c r="L99">
        <f t="shared" si="9"/>
        <v>2039.9033535960532</v>
      </c>
    </row>
    <row r="100" spans="1:12" x14ac:dyDescent="0.3">
      <c r="A100" s="23">
        <v>699.99</v>
      </c>
      <c r="B100" s="23">
        <v>699.99</v>
      </c>
      <c r="C100" s="23">
        <v>699.99</v>
      </c>
      <c r="H100">
        <f t="shared" si="6"/>
        <v>404.83471074380179</v>
      </c>
      <c r="I100">
        <f t="shared" si="7"/>
        <v>-217.50033057851363</v>
      </c>
      <c r="J100">
        <f t="shared" si="8"/>
        <v>-88051.683416433836</v>
      </c>
      <c r="L100">
        <f t="shared" si="9"/>
        <v>163891.14302301768</v>
      </c>
    </row>
    <row r="101" spans="1:12" x14ac:dyDescent="0.3">
      <c r="A101" s="23">
        <v>149.99</v>
      </c>
      <c r="B101" s="23">
        <v>149.99</v>
      </c>
      <c r="C101" s="23">
        <v>449.97</v>
      </c>
      <c r="H101">
        <f t="shared" si="6"/>
        <v>-145.16528925619821</v>
      </c>
      <c r="I101">
        <f t="shared" si="7"/>
        <v>-467.52033057851361</v>
      </c>
      <c r="J101">
        <f t="shared" si="8"/>
        <v>67867.72402158333</v>
      </c>
      <c r="L101">
        <f t="shared" si="9"/>
        <v>21072.961204835694</v>
      </c>
    </row>
    <row r="102" spans="1:12" x14ac:dyDescent="0.3">
      <c r="A102" s="23">
        <v>699.99</v>
      </c>
      <c r="B102" s="23">
        <v>699.99</v>
      </c>
      <c r="C102" s="23">
        <v>1399.98</v>
      </c>
      <c r="H102">
        <f t="shared" si="6"/>
        <v>404.83471074380179</v>
      </c>
      <c r="I102">
        <f t="shared" si="7"/>
        <v>482.48966942148638</v>
      </c>
      <c r="J102">
        <f t="shared" si="8"/>
        <v>195328.56575712</v>
      </c>
      <c r="L102">
        <f t="shared" si="9"/>
        <v>163891.14302301768</v>
      </c>
    </row>
    <row r="103" spans="1:12" x14ac:dyDescent="0.3">
      <c r="A103" s="23">
        <v>249.99</v>
      </c>
      <c r="B103" s="23">
        <v>249.99</v>
      </c>
      <c r="C103" s="23">
        <v>249.99</v>
      </c>
      <c r="H103">
        <f t="shared" si="6"/>
        <v>-45.165289256198207</v>
      </c>
      <c r="I103">
        <f t="shared" si="7"/>
        <v>-667.50033057851363</v>
      </c>
      <c r="J103">
        <f t="shared" si="8"/>
        <v>30147.845509186493</v>
      </c>
      <c r="L103">
        <f t="shared" si="9"/>
        <v>2039.9033535960532</v>
      </c>
    </row>
    <row r="104" spans="1:12" x14ac:dyDescent="0.3">
      <c r="A104" s="23">
        <v>249.99</v>
      </c>
      <c r="B104" s="23">
        <v>249.99</v>
      </c>
      <c r="C104" s="23">
        <v>249.99</v>
      </c>
      <c r="H104">
        <f t="shared" si="6"/>
        <v>-45.165289256198207</v>
      </c>
      <c r="I104">
        <f t="shared" si="7"/>
        <v>-667.50033057851363</v>
      </c>
      <c r="J104">
        <f t="shared" si="8"/>
        <v>30147.845509186493</v>
      </c>
      <c r="L104">
        <f t="shared" si="9"/>
        <v>2039.9033535960532</v>
      </c>
    </row>
    <row r="105" spans="1:12" x14ac:dyDescent="0.3">
      <c r="A105" s="23">
        <v>699.99</v>
      </c>
      <c r="B105" s="23">
        <v>699.99</v>
      </c>
      <c r="C105" s="23">
        <v>1399.98</v>
      </c>
      <c r="H105">
        <f t="shared" si="6"/>
        <v>404.83471074380179</v>
      </c>
      <c r="I105">
        <f t="shared" si="7"/>
        <v>482.48966942148638</v>
      </c>
      <c r="J105">
        <f t="shared" si="8"/>
        <v>195328.56575712</v>
      </c>
      <c r="L105">
        <f t="shared" si="9"/>
        <v>163891.14302301768</v>
      </c>
    </row>
    <row r="106" spans="1:12" x14ac:dyDescent="0.3">
      <c r="A106" s="23">
        <v>59.99</v>
      </c>
      <c r="B106" s="23">
        <v>59.99</v>
      </c>
      <c r="C106" s="23">
        <v>179.97</v>
      </c>
      <c r="H106">
        <f t="shared" si="6"/>
        <v>-235.16528925619821</v>
      </c>
      <c r="I106">
        <f t="shared" si="7"/>
        <v>-737.52033057851361</v>
      </c>
      <c r="J106">
        <f t="shared" si="8"/>
        <v>173439.18187282307</v>
      </c>
      <c r="L106">
        <f t="shared" si="9"/>
        <v>55302.713270951375</v>
      </c>
    </row>
    <row r="107" spans="1:12" x14ac:dyDescent="0.3">
      <c r="A107" s="23">
        <v>59.99</v>
      </c>
      <c r="B107" s="23">
        <v>59.99</v>
      </c>
      <c r="C107" s="23">
        <v>179.97</v>
      </c>
      <c r="H107">
        <f t="shared" si="6"/>
        <v>-235.16528925619821</v>
      </c>
      <c r="I107">
        <f t="shared" si="7"/>
        <v>-737.52033057851361</v>
      </c>
      <c r="J107">
        <f t="shared" si="8"/>
        <v>173439.18187282307</v>
      </c>
      <c r="L107">
        <f t="shared" si="9"/>
        <v>55302.713270951375</v>
      </c>
    </row>
    <row r="108" spans="1:12" x14ac:dyDescent="0.3">
      <c r="A108" s="23">
        <v>79.989999999999995</v>
      </c>
      <c r="B108" s="23">
        <v>79.989999999999995</v>
      </c>
      <c r="C108" s="23">
        <v>319.95999999999998</v>
      </c>
      <c r="H108">
        <f t="shared" si="6"/>
        <v>-215.16528925619821</v>
      </c>
      <c r="I108">
        <f t="shared" si="7"/>
        <v>-597.53033057851371</v>
      </c>
      <c r="J108">
        <f t="shared" si="8"/>
        <v>128567.78641827764</v>
      </c>
      <c r="L108">
        <f t="shared" si="9"/>
        <v>46296.101700703446</v>
      </c>
    </row>
    <row r="109" spans="1:12" x14ac:dyDescent="0.3">
      <c r="A109" s="23">
        <v>79.989999999999995</v>
      </c>
      <c r="B109" s="23">
        <v>79.989999999999995</v>
      </c>
      <c r="C109" s="23">
        <v>79.989999999999995</v>
      </c>
      <c r="H109">
        <f t="shared" si="6"/>
        <v>-215.16528925619821</v>
      </c>
      <c r="I109">
        <f t="shared" si="7"/>
        <v>-837.50033057851363</v>
      </c>
      <c r="J109">
        <f t="shared" si="8"/>
        <v>180201.0008810875</v>
      </c>
      <c r="L109">
        <f t="shared" si="9"/>
        <v>46296.101700703446</v>
      </c>
    </row>
    <row r="110" spans="1:12" x14ac:dyDescent="0.3">
      <c r="A110" s="23">
        <v>299.99</v>
      </c>
      <c r="B110" s="23">
        <v>299.99</v>
      </c>
      <c r="C110" s="23">
        <v>899.97</v>
      </c>
      <c r="H110">
        <f t="shared" si="6"/>
        <v>4.8347107438017929</v>
      </c>
      <c r="I110">
        <f t="shared" si="7"/>
        <v>-17.520330578513608</v>
      </c>
      <c r="J110">
        <f t="shared" si="8"/>
        <v>-84.705730482898829</v>
      </c>
      <c r="L110">
        <f t="shared" si="9"/>
        <v>23.374427976232486</v>
      </c>
    </row>
    <row r="111" spans="1:12" x14ac:dyDescent="0.3">
      <c r="A111" s="23">
        <v>89.99</v>
      </c>
      <c r="B111" s="23">
        <v>89.99</v>
      </c>
      <c r="C111" s="23">
        <v>179.98</v>
      </c>
      <c r="H111">
        <f t="shared" si="6"/>
        <v>-205.16528925619821</v>
      </c>
      <c r="I111">
        <f t="shared" si="7"/>
        <v>-737.51033057851362</v>
      </c>
      <c r="J111">
        <f t="shared" si="8"/>
        <v>151311.52030257511</v>
      </c>
      <c r="L111">
        <f t="shared" si="9"/>
        <v>42092.795915579482</v>
      </c>
    </row>
    <row r="112" spans="1:12" x14ac:dyDescent="0.3">
      <c r="A112" s="23">
        <v>149.99</v>
      </c>
      <c r="B112" s="23">
        <v>149.99</v>
      </c>
      <c r="C112" s="23">
        <v>599.96</v>
      </c>
      <c r="H112">
        <f t="shared" si="6"/>
        <v>-145.16528925619821</v>
      </c>
      <c r="I112">
        <f t="shared" si="7"/>
        <v>-317.5303305785136</v>
      </c>
      <c r="J112">
        <f t="shared" si="8"/>
        <v>46094.382286046166</v>
      </c>
      <c r="L112">
        <f t="shared" si="9"/>
        <v>21072.961204835694</v>
      </c>
    </row>
    <row r="113" spans="1:12" x14ac:dyDescent="0.3">
      <c r="A113" s="23">
        <v>249.99</v>
      </c>
      <c r="B113" s="23">
        <v>249.99</v>
      </c>
      <c r="C113" s="23">
        <v>499.98</v>
      </c>
      <c r="H113">
        <f t="shared" si="6"/>
        <v>-45.165289256198207</v>
      </c>
      <c r="I113">
        <f t="shared" si="7"/>
        <v>-417.51033057851362</v>
      </c>
      <c r="J113">
        <f t="shared" si="8"/>
        <v>18856.974848029502</v>
      </c>
      <c r="L113">
        <f t="shared" si="9"/>
        <v>2039.9033535960532</v>
      </c>
    </row>
    <row r="114" spans="1:12" x14ac:dyDescent="0.3">
      <c r="A114" s="23">
        <v>199.99</v>
      </c>
      <c r="B114" s="23">
        <v>199.99</v>
      </c>
      <c r="C114" s="23">
        <v>799.96</v>
      </c>
      <c r="H114">
        <f t="shared" si="6"/>
        <v>-95.165289256198207</v>
      </c>
      <c r="I114">
        <f t="shared" si="7"/>
        <v>-117.5303305785136</v>
      </c>
      <c r="J114">
        <f t="shared" si="8"/>
        <v>11184.807905880843</v>
      </c>
      <c r="L114">
        <f t="shared" si="9"/>
        <v>9056.4322792158746</v>
      </c>
    </row>
    <row r="115" spans="1:12" x14ac:dyDescent="0.3">
      <c r="A115" s="23">
        <v>89.99</v>
      </c>
      <c r="B115" s="23">
        <v>89.99</v>
      </c>
      <c r="C115" s="23">
        <v>449.95</v>
      </c>
      <c r="H115">
        <f t="shared" si="6"/>
        <v>-205.16528925619821</v>
      </c>
      <c r="I115">
        <f t="shared" si="7"/>
        <v>-467.54033057851365</v>
      </c>
      <c r="J115">
        <f t="shared" si="8"/>
        <v>95923.047162079281</v>
      </c>
      <c r="L115">
        <f t="shared" si="9"/>
        <v>42092.795915579482</v>
      </c>
    </row>
    <row r="116" spans="1:12" x14ac:dyDescent="0.3">
      <c r="A116" s="23">
        <v>149.99</v>
      </c>
      <c r="B116" s="23">
        <v>149.99</v>
      </c>
      <c r="C116" s="23">
        <v>149.99</v>
      </c>
      <c r="H116">
        <f t="shared" si="6"/>
        <v>-145.16528925619821</v>
      </c>
      <c r="I116">
        <f t="shared" si="7"/>
        <v>-767.50033057851363</v>
      </c>
      <c r="J116">
        <f t="shared" si="8"/>
        <v>111414.40749265767</v>
      </c>
      <c r="L116">
        <f t="shared" si="9"/>
        <v>21072.961204835694</v>
      </c>
    </row>
    <row r="117" spans="1:12" x14ac:dyDescent="0.3">
      <c r="A117" s="23">
        <v>699.99</v>
      </c>
      <c r="B117" s="23">
        <v>699.99</v>
      </c>
      <c r="C117" s="23">
        <v>2799.96</v>
      </c>
      <c r="H117">
        <f t="shared" si="6"/>
        <v>404.83471074380179</v>
      </c>
      <c r="I117">
        <f t="shared" si="7"/>
        <v>1882.4696694214863</v>
      </c>
      <c r="J117">
        <f t="shared" si="8"/>
        <v>762089.06410422758</v>
      </c>
      <c r="L117">
        <f t="shared" si="9"/>
        <v>163891.14302301768</v>
      </c>
    </row>
    <row r="118" spans="1:12" x14ac:dyDescent="0.3">
      <c r="A118" s="23">
        <v>899.99</v>
      </c>
      <c r="B118" s="23">
        <v>899.99</v>
      </c>
      <c r="C118" s="23">
        <v>2699.97</v>
      </c>
      <c r="H118">
        <f t="shared" si="6"/>
        <v>604.83471074380179</v>
      </c>
      <c r="I118">
        <f t="shared" si="7"/>
        <v>1782.4796694214861</v>
      </c>
      <c r="J118">
        <f t="shared" si="8"/>
        <v>1078105.575261252</v>
      </c>
      <c r="L118">
        <f t="shared" si="9"/>
        <v>365825.02732053836</v>
      </c>
    </row>
    <row r="119" spans="1:12" x14ac:dyDescent="0.3">
      <c r="A119" s="23">
        <v>149.99</v>
      </c>
      <c r="B119" s="23">
        <v>149.99</v>
      </c>
      <c r="C119" s="23">
        <v>449.97</v>
      </c>
      <c r="H119">
        <f t="shared" si="6"/>
        <v>-145.16528925619821</v>
      </c>
      <c r="I119">
        <f t="shared" si="7"/>
        <v>-467.52033057851361</v>
      </c>
      <c r="J119">
        <f t="shared" si="8"/>
        <v>67867.72402158333</v>
      </c>
      <c r="L119">
        <f t="shared" si="9"/>
        <v>21072.961204835694</v>
      </c>
    </row>
    <row r="120" spans="1:12" x14ac:dyDescent="0.3">
      <c r="A120" s="23">
        <v>299.99</v>
      </c>
      <c r="B120" s="23">
        <v>299.99</v>
      </c>
      <c r="C120" s="23">
        <v>599.98</v>
      </c>
      <c r="H120">
        <f t="shared" si="6"/>
        <v>4.8347107438017929</v>
      </c>
      <c r="I120">
        <f t="shared" si="7"/>
        <v>-317.51033057851362</v>
      </c>
      <c r="J120">
        <f t="shared" si="8"/>
        <v>-1535.0706065159986</v>
      </c>
      <c r="L120">
        <f t="shared" si="9"/>
        <v>23.374427976232486</v>
      </c>
    </row>
    <row r="121" spans="1:12" x14ac:dyDescent="0.3">
      <c r="A121" s="23">
        <v>199.99</v>
      </c>
      <c r="B121" s="23">
        <v>199.99</v>
      </c>
      <c r="C121" s="23">
        <v>199.99</v>
      </c>
      <c r="H121">
        <f t="shared" si="6"/>
        <v>-95.165289256198207</v>
      </c>
      <c r="I121">
        <f t="shared" si="7"/>
        <v>-717.50033057851363</v>
      </c>
      <c r="J121">
        <f t="shared" si="8"/>
        <v>68281.126500922081</v>
      </c>
      <c r="L121">
        <f t="shared" si="9"/>
        <v>9056.4322792158746</v>
      </c>
    </row>
    <row r="122" spans="1:12" x14ac:dyDescent="0.3">
      <c r="A122" s="23">
        <v>299.99</v>
      </c>
      <c r="B122" s="23">
        <v>299.99</v>
      </c>
      <c r="C122" s="23">
        <v>1199.96</v>
      </c>
      <c r="H122">
        <f t="shared" si="6"/>
        <v>4.8347107438017929</v>
      </c>
      <c r="I122">
        <f t="shared" si="7"/>
        <v>282.4696694214864</v>
      </c>
      <c r="J122">
        <f t="shared" si="8"/>
        <v>1365.6591455502012</v>
      </c>
      <c r="L122">
        <f t="shared" si="9"/>
        <v>23.374427976232486</v>
      </c>
    </row>
    <row r="123" spans="1:12" x14ac:dyDescent="0.3">
      <c r="A123" s="23">
        <v>59.99</v>
      </c>
      <c r="B123" s="23">
        <v>59.99</v>
      </c>
      <c r="C123" s="23">
        <v>119.98</v>
      </c>
      <c r="H123">
        <f t="shared" si="6"/>
        <v>-235.16528925619821</v>
      </c>
      <c r="I123">
        <f t="shared" si="7"/>
        <v>-797.51033057851362</v>
      </c>
      <c r="J123">
        <f t="shared" si="8"/>
        <v>187546.7475753024</v>
      </c>
      <c r="L123">
        <f t="shared" si="9"/>
        <v>55302.713270951375</v>
      </c>
    </row>
    <row r="124" spans="1:12" x14ac:dyDescent="0.3">
      <c r="A124" s="23">
        <v>149.99</v>
      </c>
      <c r="B124" s="23">
        <v>149.99</v>
      </c>
      <c r="C124" s="23">
        <v>599.96</v>
      </c>
      <c r="H124">
        <f t="shared" si="6"/>
        <v>-145.16528925619821</v>
      </c>
      <c r="I124">
        <f t="shared" si="7"/>
        <v>-317.5303305785136</v>
      </c>
      <c r="J124">
        <f t="shared" si="8"/>
        <v>46094.382286046166</v>
      </c>
      <c r="L124">
        <f t="shared" si="9"/>
        <v>21072.961204835694</v>
      </c>
    </row>
    <row r="125" spans="1:12" x14ac:dyDescent="0.3">
      <c r="A125" s="23">
        <v>699.99</v>
      </c>
      <c r="B125" s="23">
        <v>699.99</v>
      </c>
      <c r="C125" s="23">
        <v>1399.98</v>
      </c>
      <c r="H125">
        <f t="shared" si="6"/>
        <v>404.83471074380179</v>
      </c>
      <c r="I125">
        <f t="shared" si="7"/>
        <v>482.48966942148638</v>
      </c>
      <c r="J125">
        <f t="shared" si="8"/>
        <v>195328.56575712</v>
      </c>
      <c r="L125">
        <f t="shared" si="9"/>
        <v>163891.14302301768</v>
      </c>
    </row>
    <row r="126" spans="1:12" x14ac:dyDescent="0.3">
      <c r="A126" s="23">
        <v>149.99</v>
      </c>
      <c r="B126" s="23">
        <v>149.99</v>
      </c>
      <c r="C126" s="23">
        <v>449.97</v>
      </c>
      <c r="H126">
        <f t="shared" si="6"/>
        <v>-145.16528925619821</v>
      </c>
      <c r="I126">
        <f t="shared" si="7"/>
        <v>-467.52033057851361</v>
      </c>
      <c r="J126">
        <f t="shared" si="8"/>
        <v>67867.72402158333</v>
      </c>
      <c r="L126">
        <f t="shared" si="9"/>
        <v>21072.961204835694</v>
      </c>
    </row>
    <row r="127" spans="1:12" x14ac:dyDescent="0.3">
      <c r="A127" s="23">
        <v>299.99</v>
      </c>
      <c r="B127" s="23">
        <v>299.99</v>
      </c>
      <c r="C127" s="23">
        <v>899.97</v>
      </c>
      <c r="H127">
        <f t="shared" si="6"/>
        <v>4.8347107438017929</v>
      </c>
      <c r="I127">
        <f t="shared" si="7"/>
        <v>-17.520330578513608</v>
      </c>
      <c r="J127">
        <f t="shared" si="8"/>
        <v>-84.705730482898829</v>
      </c>
      <c r="L127">
        <f t="shared" si="9"/>
        <v>23.374427976232486</v>
      </c>
    </row>
    <row r="128" spans="1:12" x14ac:dyDescent="0.3">
      <c r="A128" s="23">
        <v>899.99</v>
      </c>
      <c r="B128" s="23">
        <v>899.99</v>
      </c>
      <c r="C128" s="23">
        <v>2699.97</v>
      </c>
      <c r="H128">
        <f t="shared" si="6"/>
        <v>604.83471074380179</v>
      </c>
      <c r="I128">
        <f t="shared" si="7"/>
        <v>1782.4796694214861</v>
      </c>
      <c r="J128">
        <f t="shared" si="8"/>
        <v>1078105.575261252</v>
      </c>
      <c r="L128">
        <f t="shared" si="9"/>
        <v>365825.02732053836</v>
      </c>
    </row>
    <row r="129" spans="1:12" x14ac:dyDescent="0.3">
      <c r="A129" s="23">
        <v>699.99</v>
      </c>
      <c r="B129" s="23">
        <v>699.99</v>
      </c>
      <c r="C129" s="23">
        <v>3499.95</v>
      </c>
      <c r="H129">
        <f t="shared" si="6"/>
        <v>404.83471074380179</v>
      </c>
      <c r="I129">
        <f t="shared" si="7"/>
        <v>2582.4596694214861</v>
      </c>
      <c r="J129">
        <f t="shared" si="8"/>
        <v>1045469.3132777814</v>
      </c>
      <c r="L129">
        <f t="shared" si="9"/>
        <v>163891.14302301768</v>
      </c>
    </row>
    <row r="130" spans="1:12" x14ac:dyDescent="0.3">
      <c r="A130" s="23">
        <v>699.99</v>
      </c>
      <c r="B130" s="23">
        <v>699.99</v>
      </c>
      <c r="C130" s="23">
        <v>2799.96</v>
      </c>
      <c r="H130">
        <f t="shared" si="6"/>
        <v>404.83471074380179</v>
      </c>
      <c r="I130">
        <f t="shared" si="7"/>
        <v>1882.4696694214863</v>
      </c>
      <c r="J130">
        <f t="shared" si="8"/>
        <v>762089.06410422758</v>
      </c>
      <c r="L130">
        <f t="shared" si="9"/>
        <v>163891.14302301768</v>
      </c>
    </row>
    <row r="131" spans="1:12" x14ac:dyDescent="0.3">
      <c r="A131" s="23">
        <v>899.99</v>
      </c>
      <c r="B131" s="23">
        <v>899.99</v>
      </c>
      <c r="C131" s="23">
        <v>899.99</v>
      </c>
      <c r="H131">
        <f t="shared" ref="H131:H194" si="10">B131-$F$2</f>
        <v>604.83471074380179</v>
      </c>
      <c r="I131">
        <f t="shared" ref="I131:I194" si="11">C131-$G$2</f>
        <v>-17.500330578513626</v>
      </c>
      <c r="J131">
        <f t="shared" ref="J131:J194" si="12">H131*I131</f>
        <v>-10584.807383376199</v>
      </c>
      <c r="L131">
        <f t="shared" ref="L131:L194" si="13">H131*H131</f>
        <v>365825.02732053836</v>
      </c>
    </row>
    <row r="132" spans="1:12" x14ac:dyDescent="0.3">
      <c r="A132" s="23">
        <v>149.99</v>
      </c>
      <c r="B132" s="23">
        <v>149.99</v>
      </c>
      <c r="C132" s="23">
        <v>299.98</v>
      </c>
      <c r="H132">
        <f t="shared" si="10"/>
        <v>-145.16528925619821</v>
      </c>
      <c r="I132">
        <f t="shared" si="11"/>
        <v>-617.51033057851362</v>
      </c>
      <c r="J132">
        <f t="shared" si="12"/>
        <v>89641.065757120508</v>
      </c>
      <c r="L132">
        <f t="shared" si="13"/>
        <v>21072.961204835694</v>
      </c>
    </row>
    <row r="133" spans="1:12" x14ac:dyDescent="0.3">
      <c r="A133" s="23">
        <v>89.99</v>
      </c>
      <c r="B133" s="23">
        <v>89.99</v>
      </c>
      <c r="C133" s="23">
        <v>269.97000000000003</v>
      </c>
      <c r="H133">
        <f t="shared" si="10"/>
        <v>-205.16528925619821</v>
      </c>
      <c r="I133">
        <f t="shared" si="11"/>
        <v>-647.52033057851361</v>
      </c>
      <c r="J133">
        <f t="shared" si="12"/>
        <v>132848.69592240982</v>
      </c>
      <c r="L133">
        <f t="shared" si="13"/>
        <v>42092.795915579482</v>
      </c>
    </row>
    <row r="134" spans="1:12" x14ac:dyDescent="0.3">
      <c r="A134" s="23">
        <v>149.99</v>
      </c>
      <c r="B134" s="23">
        <v>149.99</v>
      </c>
      <c r="C134" s="23">
        <v>299.98</v>
      </c>
      <c r="H134">
        <f t="shared" si="10"/>
        <v>-145.16528925619821</v>
      </c>
      <c r="I134">
        <f t="shared" si="11"/>
        <v>-617.51033057851362</v>
      </c>
      <c r="J134">
        <f t="shared" si="12"/>
        <v>89641.065757120508</v>
      </c>
      <c r="L134">
        <f t="shared" si="13"/>
        <v>21072.961204835694</v>
      </c>
    </row>
    <row r="135" spans="1:12" x14ac:dyDescent="0.3">
      <c r="A135" s="23">
        <v>699.99</v>
      </c>
      <c r="B135" s="23">
        <v>699.99</v>
      </c>
      <c r="C135" s="23">
        <v>1399.98</v>
      </c>
      <c r="H135">
        <f t="shared" si="10"/>
        <v>404.83471074380179</v>
      </c>
      <c r="I135">
        <f t="shared" si="11"/>
        <v>482.48966942148638</v>
      </c>
      <c r="J135">
        <f t="shared" si="12"/>
        <v>195328.56575712</v>
      </c>
      <c r="L135">
        <f t="shared" si="13"/>
        <v>163891.14302301768</v>
      </c>
    </row>
    <row r="136" spans="1:12" x14ac:dyDescent="0.3">
      <c r="A136" s="23">
        <v>699.99</v>
      </c>
      <c r="B136" s="23">
        <v>699.99</v>
      </c>
      <c r="C136" s="23">
        <v>3499.95</v>
      </c>
      <c r="H136">
        <f t="shared" si="10"/>
        <v>404.83471074380179</v>
      </c>
      <c r="I136">
        <f t="shared" si="11"/>
        <v>2582.4596694214861</v>
      </c>
      <c r="J136">
        <f t="shared" si="12"/>
        <v>1045469.3132777814</v>
      </c>
      <c r="L136">
        <f t="shared" si="13"/>
        <v>163891.14302301768</v>
      </c>
    </row>
    <row r="137" spans="1:12" x14ac:dyDescent="0.3">
      <c r="A137" s="23">
        <v>89.99</v>
      </c>
      <c r="B137" s="23">
        <v>89.99</v>
      </c>
      <c r="C137" s="23">
        <v>269.97000000000003</v>
      </c>
      <c r="H137">
        <f t="shared" si="10"/>
        <v>-205.16528925619821</v>
      </c>
      <c r="I137">
        <f t="shared" si="11"/>
        <v>-647.52033057851361</v>
      </c>
      <c r="J137">
        <f t="shared" si="12"/>
        <v>132848.69592240982</v>
      </c>
      <c r="L137">
        <f t="shared" si="13"/>
        <v>42092.795915579482</v>
      </c>
    </row>
    <row r="138" spans="1:12" x14ac:dyDescent="0.3">
      <c r="A138" s="23">
        <v>249.99</v>
      </c>
      <c r="B138" s="23">
        <v>249.99</v>
      </c>
      <c r="C138" s="23">
        <v>1249.95</v>
      </c>
      <c r="H138">
        <f t="shared" si="10"/>
        <v>-45.165289256198207</v>
      </c>
      <c r="I138">
        <f t="shared" si="11"/>
        <v>332.45966942148641</v>
      </c>
      <c r="J138">
        <f t="shared" si="12"/>
        <v>-15015.637135441468</v>
      </c>
      <c r="L138">
        <f t="shared" si="13"/>
        <v>2039.9033535960532</v>
      </c>
    </row>
    <row r="139" spans="1:12" x14ac:dyDescent="0.3">
      <c r="A139" s="23">
        <v>299.99</v>
      </c>
      <c r="B139" s="23">
        <v>299.99</v>
      </c>
      <c r="C139" s="23">
        <v>899.97</v>
      </c>
      <c r="H139">
        <f t="shared" si="10"/>
        <v>4.8347107438017929</v>
      </c>
      <c r="I139">
        <f t="shared" si="11"/>
        <v>-17.520330578513608</v>
      </c>
      <c r="J139">
        <f t="shared" si="12"/>
        <v>-84.705730482898829</v>
      </c>
      <c r="L139">
        <f t="shared" si="13"/>
        <v>23.374427976232486</v>
      </c>
    </row>
    <row r="140" spans="1:12" x14ac:dyDescent="0.3">
      <c r="A140" s="23">
        <v>89.99</v>
      </c>
      <c r="B140" s="23">
        <v>89.99</v>
      </c>
      <c r="C140" s="23">
        <v>269.97000000000003</v>
      </c>
      <c r="H140">
        <f t="shared" si="10"/>
        <v>-205.16528925619821</v>
      </c>
      <c r="I140">
        <f t="shared" si="11"/>
        <v>-647.52033057851361</v>
      </c>
      <c r="J140">
        <f t="shared" si="12"/>
        <v>132848.69592240982</v>
      </c>
      <c r="L140">
        <f t="shared" si="13"/>
        <v>42092.795915579482</v>
      </c>
    </row>
    <row r="141" spans="1:12" x14ac:dyDescent="0.3">
      <c r="A141" s="23">
        <v>149.99</v>
      </c>
      <c r="B141" s="23">
        <v>149.99</v>
      </c>
      <c r="C141" s="23">
        <v>299.98</v>
      </c>
      <c r="H141">
        <f t="shared" si="10"/>
        <v>-145.16528925619821</v>
      </c>
      <c r="I141">
        <f t="shared" si="11"/>
        <v>-617.51033057851362</v>
      </c>
      <c r="J141">
        <f t="shared" si="12"/>
        <v>89641.065757120508</v>
      </c>
      <c r="L141">
        <f t="shared" si="13"/>
        <v>21072.961204835694</v>
      </c>
    </row>
    <row r="142" spans="1:12" x14ac:dyDescent="0.3">
      <c r="A142" s="23">
        <v>249.99</v>
      </c>
      <c r="B142" s="23">
        <v>249.99</v>
      </c>
      <c r="C142" s="23">
        <v>249.99</v>
      </c>
      <c r="H142">
        <f t="shared" si="10"/>
        <v>-45.165289256198207</v>
      </c>
      <c r="I142">
        <f t="shared" si="11"/>
        <v>-667.50033057851363</v>
      </c>
      <c r="J142">
        <f t="shared" si="12"/>
        <v>30147.845509186493</v>
      </c>
      <c r="L142">
        <f t="shared" si="13"/>
        <v>2039.9033535960532</v>
      </c>
    </row>
    <row r="143" spans="1:12" x14ac:dyDescent="0.3">
      <c r="A143" s="23">
        <v>149.99</v>
      </c>
      <c r="B143" s="23">
        <v>149.99</v>
      </c>
      <c r="C143" s="23">
        <v>449.97</v>
      </c>
      <c r="H143">
        <f t="shared" si="10"/>
        <v>-145.16528925619821</v>
      </c>
      <c r="I143">
        <f t="shared" si="11"/>
        <v>-467.52033057851361</v>
      </c>
      <c r="J143">
        <f t="shared" si="12"/>
        <v>67867.72402158333</v>
      </c>
      <c r="L143">
        <f t="shared" si="13"/>
        <v>21072.961204835694</v>
      </c>
    </row>
    <row r="144" spans="1:12" x14ac:dyDescent="0.3">
      <c r="A144" s="23">
        <v>59.99</v>
      </c>
      <c r="B144" s="23">
        <v>59.99</v>
      </c>
      <c r="C144" s="23">
        <v>299.95</v>
      </c>
      <c r="H144">
        <f t="shared" si="10"/>
        <v>-235.16528925619821</v>
      </c>
      <c r="I144">
        <f t="shared" si="11"/>
        <v>-617.5403305785137</v>
      </c>
      <c r="J144">
        <f t="shared" si="12"/>
        <v>145224.05046786444</v>
      </c>
      <c r="L144">
        <f t="shared" si="13"/>
        <v>55302.713270951375</v>
      </c>
    </row>
    <row r="145" spans="1:12" x14ac:dyDescent="0.3">
      <c r="A145" s="23">
        <v>249.99</v>
      </c>
      <c r="B145" s="23">
        <v>249.99</v>
      </c>
      <c r="C145" s="23">
        <v>999.96</v>
      </c>
      <c r="H145">
        <f t="shared" si="10"/>
        <v>-45.165289256198207</v>
      </c>
      <c r="I145">
        <f t="shared" si="11"/>
        <v>82.469669421486401</v>
      </c>
      <c r="J145">
        <f t="shared" si="12"/>
        <v>-3724.7664742844777</v>
      </c>
      <c r="L145">
        <f t="shared" si="13"/>
        <v>2039.9033535960532</v>
      </c>
    </row>
    <row r="146" spans="1:12" x14ac:dyDescent="0.3">
      <c r="A146" s="23">
        <v>149.99</v>
      </c>
      <c r="B146" s="23">
        <v>149.99</v>
      </c>
      <c r="C146" s="23">
        <v>749.95</v>
      </c>
      <c r="H146">
        <f t="shared" si="10"/>
        <v>-145.16528925619821</v>
      </c>
      <c r="I146">
        <f t="shared" si="11"/>
        <v>-167.54033057851359</v>
      </c>
      <c r="J146">
        <f t="shared" si="12"/>
        <v>24321.040550508995</v>
      </c>
      <c r="L146">
        <f t="shared" si="13"/>
        <v>21072.961204835694</v>
      </c>
    </row>
    <row r="147" spans="1:12" x14ac:dyDescent="0.3">
      <c r="A147" s="23">
        <v>59.99</v>
      </c>
      <c r="B147" s="23">
        <v>59.99</v>
      </c>
      <c r="C147" s="23">
        <v>179.97</v>
      </c>
      <c r="H147">
        <f t="shared" si="10"/>
        <v>-235.16528925619821</v>
      </c>
      <c r="I147">
        <f t="shared" si="11"/>
        <v>-737.52033057851361</v>
      </c>
      <c r="J147">
        <f t="shared" si="12"/>
        <v>173439.18187282307</v>
      </c>
      <c r="L147">
        <f t="shared" si="13"/>
        <v>55302.713270951375</v>
      </c>
    </row>
    <row r="148" spans="1:12" x14ac:dyDescent="0.3">
      <c r="A148" s="23">
        <v>149.99</v>
      </c>
      <c r="B148" s="23">
        <v>149.99</v>
      </c>
      <c r="C148" s="23">
        <v>749.95</v>
      </c>
      <c r="H148">
        <f t="shared" si="10"/>
        <v>-145.16528925619821</v>
      </c>
      <c r="I148">
        <f t="shared" si="11"/>
        <v>-167.54033057851359</v>
      </c>
      <c r="J148">
        <f t="shared" si="12"/>
        <v>24321.040550508995</v>
      </c>
      <c r="L148">
        <f t="shared" si="13"/>
        <v>21072.961204835694</v>
      </c>
    </row>
    <row r="149" spans="1:12" x14ac:dyDescent="0.3">
      <c r="A149" s="23">
        <v>699.99</v>
      </c>
      <c r="B149" s="23">
        <v>699.99</v>
      </c>
      <c r="C149" s="23">
        <v>1399.98</v>
      </c>
      <c r="H149">
        <f t="shared" si="10"/>
        <v>404.83471074380179</v>
      </c>
      <c r="I149">
        <f t="shared" si="11"/>
        <v>482.48966942148638</v>
      </c>
      <c r="J149">
        <f t="shared" si="12"/>
        <v>195328.56575712</v>
      </c>
      <c r="L149">
        <f t="shared" si="13"/>
        <v>163891.14302301768</v>
      </c>
    </row>
    <row r="150" spans="1:12" x14ac:dyDescent="0.3">
      <c r="A150" s="23">
        <v>199.99</v>
      </c>
      <c r="B150" s="23">
        <v>199.99</v>
      </c>
      <c r="C150" s="23">
        <v>799.96</v>
      </c>
      <c r="H150">
        <f t="shared" si="10"/>
        <v>-95.165289256198207</v>
      </c>
      <c r="I150">
        <f t="shared" si="11"/>
        <v>-117.5303305785136</v>
      </c>
      <c r="J150">
        <f t="shared" si="12"/>
        <v>11184.807905880843</v>
      </c>
      <c r="L150">
        <f t="shared" si="13"/>
        <v>9056.4322792158746</v>
      </c>
    </row>
    <row r="151" spans="1:12" x14ac:dyDescent="0.3">
      <c r="A151" s="23">
        <v>59.99</v>
      </c>
      <c r="B151" s="23">
        <v>59.99</v>
      </c>
      <c r="C151" s="23">
        <v>59.99</v>
      </c>
      <c r="H151">
        <f t="shared" si="10"/>
        <v>-235.16528925619821</v>
      </c>
      <c r="I151">
        <f t="shared" si="11"/>
        <v>-857.50033057851363</v>
      </c>
      <c r="J151">
        <f t="shared" si="12"/>
        <v>201654.31327778174</v>
      </c>
      <c r="L151">
        <f t="shared" si="13"/>
        <v>55302.713270951375</v>
      </c>
    </row>
    <row r="152" spans="1:12" x14ac:dyDescent="0.3">
      <c r="A152" s="23">
        <v>699.99</v>
      </c>
      <c r="B152" s="23">
        <v>699.99</v>
      </c>
      <c r="C152" s="23">
        <v>2099.9699999999998</v>
      </c>
      <c r="H152">
        <f t="shared" si="10"/>
        <v>404.83471074380179</v>
      </c>
      <c r="I152">
        <f t="shared" si="11"/>
        <v>1182.4796694214861</v>
      </c>
      <c r="J152">
        <f t="shared" si="12"/>
        <v>478708.81493067369</v>
      </c>
      <c r="L152">
        <f t="shared" si="13"/>
        <v>163891.14302301768</v>
      </c>
    </row>
    <row r="153" spans="1:12" x14ac:dyDescent="0.3">
      <c r="A153" s="23">
        <v>249.99</v>
      </c>
      <c r="B153" s="23">
        <v>249.99</v>
      </c>
      <c r="C153" s="23">
        <v>1249.95</v>
      </c>
      <c r="H153">
        <f t="shared" si="10"/>
        <v>-45.165289256198207</v>
      </c>
      <c r="I153">
        <f t="shared" si="11"/>
        <v>332.45966942148641</v>
      </c>
      <c r="J153">
        <f t="shared" si="12"/>
        <v>-15015.637135441468</v>
      </c>
      <c r="L153">
        <f t="shared" si="13"/>
        <v>2039.9033535960532</v>
      </c>
    </row>
    <row r="154" spans="1:12" x14ac:dyDescent="0.3">
      <c r="A154" s="23">
        <v>149.99</v>
      </c>
      <c r="B154" s="23">
        <v>149.99</v>
      </c>
      <c r="C154" s="23">
        <v>299.98</v>
      </c>
      <c r="H154">
        <f t="shared" si="10"/>
        <v>-145.16528925619821</v>
      </c>
      <c r="I154">
        <f t="shared" si="11"/>
        <v>-617.51033057851362</v>
      </c>
      <c r="J154">
        <f t="shared" si="12"/>
        <v>89641.065757120508</v>
      </c>
      <c r="L154">
        <f t="shared" si="13"/>
        <v>21072.961204835694</v>
      </c>
    </row>
    <row r="155" spans="1:12" x14ac:dyDescent="0.3">
      <c r="A155" s="23">
        <v>299.99</v>
      </c>
      <c r="B155" s="23">
        <v>299.99</v>
      </c>
      <c r="C155" s="23">
        <v>899.97</v>
      </c>
      <c r="H155">
        <f t="shared" si="10"/>
        <v>4.8347107438017929</v>
      </c>
      <c r="I155">
        <f t="shared" si="11"/>
        <v>-17.520330578513608</v>
      </c>
      <c r="J155">
        <f t="shared" si="12"/>
        <v>-84.705730482898829</v>
      </c>
      <c r="L155">
        <f t="shared" si="13"/>
        <v>23.374427976232486</v>
      </c>
    </row>
    <row r="156" spans="1:12" x14ac:dyDescent="0.3">
      <c r="A156" s="23">
        <v>249.99</v>
      </c>
      <c r="B156" s="23">
        <v>249.99</v>
      </c>
      <c r="C156" s="23">
        <v>1249.95</v>
      </c>
      <c r="H156">
        <f t="shared" si="10"/>
        <v>-45.165289256198207</v>
      </c>
      <c r="I156">
        <f t="shared" si="11"/>
        <v>332.45966942148641</v>
      </c>
      <c r="J156">
        <f t="shared" si="12"/>
        <v>-15015.637135441468</v>
      </c>
      <c r="L156">
        <f t="shared" si="13"/>
        <v>2039.9033535960532</v>
      </c>
    </row>
    <row r="157" spans="1:12" x14ac:dyDescent="0.3">
      <c r="A157" s="23">
        <v>149.99</v>
      </c>
      <c r="B157" s="23">
        <v>149.99</v>
      </c>
      <c r="C157" s="23">
        <v>299.98</v>
      </c>
      <c r="H157">
        <f t="shared" si="10"/>
        <v>-145.16528925619821</v>
      </c>
      <c r="I157">
        <f t="shared" si="11"/>
        <v>-617.51033057851362</v>
      </c>
      <c r="J157">
        <f t="shared" si="12"/>
        <v>89641.065757120508</v>
      </c>
      <c r="L157">
        <f t="shared" si="13"/>
        <v>21072.961204835694</v>
      </c>
    </row>
    <row r="158" spans="1:12" x14ac:dyDescent="0.3">
      <c r="A158" s="23">
        <v>699.99</v>
      </c>
      <c r="B158" s="23">
        <v>699.99</v>
      </c>
      <c r="C158" s="23">
        <v>3499.95</v>
      </c>
      <c r="H158">
        <f t="shared" si="10"/>
        <v>404.83471074380179</v>
      </c>
      <c r="I158">
        <f t="shared" si="11"/>
        <v>2582.4596694214861</v>
      </c>
      <c r="J158">
        <f t="shared" si="12"/>
        <v>1045469.3132777814</v>
      </c>
      <c r="L158">
        <f t="shared" si="13"/>
        <v>163891.14302301768</v>
      </c>
    </row>
    <row r="159" spans="1:12" x14ac:dyDescent="0.3">
      <c r="A159" s="23">
        <v>249.99</v>
      </c>
      <c r="B159" s="23">
        <v>249.99</v>
      </c>
      <c r="C159" s="23">
        <v>999.96</v>
      </c>
      <c r="H159">
        <f t="shared" si="10"/>
        <v>-45.165289256198207</v>
      </c>
      <c r="I159">
        <f t="shared" si="11"/>
        <v>82.469669421486401</v>
      </c>
      <c r="J159">
        <f t="shared" si="12"/>
        <v>-3724.7664742844777</v>
      </c>
      <c r="L159">
        <f t="shared" si="13"/>
        <v>2039.9033535960532</v>
      </c>
    </row>
    <row r="160" spans="1:12" x14ac:dyDescent="0.3">
      <c r="A160" s="23">
        <v>699.99</v>
      </c>
      <c r="B160" s="23">
        <v>699.99</v>
      </c>
      <c r="C160" s="23">
        <v>2799.96</v>
      </c>
      <c r="H160">
        <f t="shared" si="10"/>
        <v>404.83471074380179</v>
      </c>
      <c r="I160">
        <f t="shared" si="11"/>
        <v>1882.4696694214863</v>
      </c>
      <c r="J160">
        <f t="shared" si="12"/>
        <v>762089.06410422758</v>
      </c>
      <c r="L160">
        <f t="shared" si="13"/>
        <v>163891.14302301768</v>
      </c>
    </row>
    <row r="161" spans="1:12" x14ac:dyDescent="0.3">
      <c r="A161" s="23">
        <v>249.99</v>
      </c>
      <c r="B161" s="23">
        <v>249.99</v>
      </c>
      <c r="C161" s="23">
        <v>499.98</v>
      </c>
      <c r="H161">
        <f t="shared" si="10"/>
        <v>-45.165289256198207</v>
      </c>
      <c r="I161">
        <f t="shared" si="11"/>
        <v>-417.51033057851362</v>
      </c>
      <c r="J161">
        <f t="shared" si="12"/>
        <v>18856.974848029502</v>
      </c>
      <c r="L161">
        <f t="shared" si="13"/>
        <v>2039.9033535960532</v>
      </c>
    </row>
    <row r="162" spans="1:12" x14ac:dyDescent="0.3">
      <c r="A162" s="23">
        <v>59.99</v>
      </c>
      <c r="B162" s="23">
        <v>59.99</v>
      </c>
      <c r="C162" s="23">
        <v>179.97</v>
      </c>
      <c r="H162">
        <f t="shared" si="10"/>
        <v>-235.16528925619821</v>
      </c>
      <c r="I162">
        <f t="shared" si="11"/>
        <v>-737.52033057851361</v>
      </c>
      <c r="J162">
        <f t="shared" si="12"/>
        <v>173439.18187282307</v>
      </c>
      <c r="L162">
        <f t="shared" si="13"/>
        <v>55302.713270951375</v>
      </c>
    </row>
    <row r="163" spans="1:12" x14ac:dyDescent="0.3">
      <c r="A163" s="23">
        <v>79.989999999999995</v>
      </c>
      <c r="B163" s="23">
        <v>79.989999999999995</v>
      </c>
      <c r="C163" s="23">
        <v>319.95999999999998</v>
      </c>
      <c r="H163">
        <f t="shared" si="10"/>
        <v>-215.16528925619821</v>
      </c>
      <c r="I163">
        <f t="shared" si="11"/>
        <v>-597.53033057851371</v>
      </c>
      <c r="J163">
        <f t="shared" si="12"/>
        <v>128567.78641827764</v>
      </c>
      <c r="L163">
        <f t="shared" si="13"/>
        <v>46296.101700703446</v>
      </c>
    </row>
    <row r="164" spans="1:12" x14ac:dyDescent="0.3">
      <c r="A164" s="23">
        <v>79.989999999999995</v>
      </c>
      <c r="B164" s="23">
        <v>79.989999999999995</v>
      </c>
      <c r="C164" s="23">
        <v>239.97</v>
      </c>
      <c r="H164">
        <f t="shared" si="10"/>
        <v>-215.16528925619821</v>
      </c>
      <c r="I164">
        <f t="shared" si="11"/>
        <v>-677.52033057851361</v>
      </c>
      <c r="J164">
        <f t="shared" si="12"/>
        <v>145778.8579058809</v>
      </c>
      <c r="L164">
        <f t="shared" si="13"/>
        <v>46296.101700703446</v>
      </c>
    </row>
    <row r="165" spans="1:12" x14ac:dyDescent="0.3">
      <c r="A165" s="23">
        <v>899.99</v>
      </c>
      <c r="B165" s="23">
        <v>899.99</v>
      </c>
      <c r="C165" s="23">
        <v>1799.98</v>
      </c>
      <c r="H165">
        <f t="shared" si="10"/>
        <v>604.83471074380179</v>
      </c>
      <c r="I165">
        <f t="shared" si="11"/>
        <v>882.48966942148638</v>
      </c>
      <c r="J165">
        <f t="shared" si="12"/>
        <v>533760.38393893803</v>
      </c>
      <c r="L165">
        <f t="shared" si="13"/>
        <v>365825.02732053836</v>
      </c>
    </row>
    <row r="166" spans="1:12" x14ac:dyDescent="0.3">
      <c r="A166" s="23">
        <v>149.99</v>
      </c>
      <c r="B166" s="23">
        <v>149.99</v>
      </c>
      <c r="C166" s="23">
        <v>149.99</v>
      </c>
      <c r="H166">
        <f t="shared" si="10"/>
        <v>-145.16528925619821</v>
      </c>
      <c r="I166">
        <f t="shared" si="11"/>
        <v>-767.50033057851363</v>
      </c>
      <c r="J166">
        <f t="shared" si="12"/>
        <v>111414.40749265767</v>
      </c>
      <c r="L166">
        <f t="shared" si="13"/>
        <v>21072.961204835694</v>
      </c>
    </row>
    <row r="167" spans="1:12" x14ac:dyDescent="0.3">
      <c r="A167" s="23">
        <v>299.99</v>
      </c>
      <c r="B167" s="23">
        <v>299.99</v>
      </c>
      <c r="C167" s="23">
        <v>599.98</v>
      </c>
      <c r="H167">
        <f t="shared" si="10"/>
        <v>4.8347107438017929</v>
      </c>
      <c r="I167">
        <f t="shared" si="11"/>
        <v>-317.51033057851362</v>
      </c>
      <c r="J167">
        <f t="shared" si="12"/>
        <v>-1535.0706065159986</v>
      </c>
      <c r="L167">
        <f t="shared" si="13"/>
        <v>23.374427976232486</v>
      </c>
    </row>
    <row r="168" spans="1:12" x14ac:dyDescent="0.3">
      <c r="A168" s="23">
        <v>59.99</v>
      </c>
      <c r="B168" s="23">
        <v>59.99</v>
      </c>
      <c r="C168" s="23">
        <v>119.98</v>
      </c>
      <c r="H168">
        <f t="shared" si="10"/>
        <v>-235.16528925619821</v>
      </c>
      <c r="I168">
        <f t="shared" si="11"/>
        <v>-797.51033057851362</v>
      </c>
      <c r="J168">
        <f t="shared" si="12"/>
        <v>187546.7475753024</v>
      </c>
      <c r="L168">
        <f t="shared" si="13"/>
        <v>55302.713270951375</v>
      </c>
    </row>
    <row r="169" spans="1:12" x14ac:dyDescent="0.3">
      <c r="A169" s="23">
        <v>89.99</v>
      </c>
      <c r="B169" s="23">
        <v>89.99</v>
      </c>
      <c r="C169" s="23">
        <v>89.99</v>
      </c>
      <c r="H169">
        <f t="shared" si="10"/>
        <v>-205.16528925619821</v>
      </c>
      <c r="I169">
        <f t="shared" si="11"/>
        <v>-827.50033057851363</v>
      </c>
      <c r="J169">
        <f t="shared" si="12"/>
        <v>169774.3446827404</v>
      </c>
      <c r="L169">
        <f t="shared" si="13"/>
        <v>42092.795915579482</v>
      </c>
    </row>
    <row r="170" spans="1:12" x14ac:dyDescent="0.3">
      <c r="A170" s="23">
        <v>899.99</v>
      </c>
      <c r="B170" s="23">
        <v>899.99</v>
      </c>
      <c r="C170" s="23">
        <v>4499.95</v>
      </c>
      <c r="H170">
        <f t="shared" si="10"/>
        <v>604.83471074380179</v>
      </c>
      <c r="I170">
        <f t="shared" si="11"/>
        <v>3582.4596694214861</v>
      </c>
      <c r="J170">
        <f t="shared" si="12"/>
        <v>2166795.9579058802</v>
      </c>
      <c r="L170">
        <f t="shared" si="13"/>
        <v>365825.02732053836</v>
      </c>
    </row>
    <row r="171" spans="1:12" x14ac:dyDescent="0.3">
      <c r="A171" s="23">
        <v>149.99</v>
      </c>
      <c r="B171" s="23">
        <v>149.99</v>
      </c>
      <c r="C171" s="23">
        <v>299.98</v>
      </c>
      <c r="H171">
        <f t="shared" si="10"/>
        <v>-145.16528925619821</v>
      </c>
      <c r="I171">
        <f t="shared" si="11"/>
        <v>-617.51033057851362</v>
      </c>
      <c r="J171">
        <f t="shared" si="12"/>
        <v>89641.065757120508</v>
      </c>
      <c r="L171">
        <f t="shared" si="13"/>
        <v>21072.961204835694</v>
      </c>
    </row>
    <row r="172" spans="1:12" x14ac:dyDescent="0.3">
      <c r="A172" s="23">
        <v>149.99</v>
      </c>
      <c r="B172" s="23">
        <v>149.99</v>
      </c>
      <c r="C172" s="23">
        <v>299.98</v>
      </c>
      <c r="H172">
        <f t="shared" si="10"/>
        <v>-145.16528925619821</v>
      </c>
      <c r="I172">
        <f t="shared" si="11"/>
        <v>-617.51033057851362</v>
      </c>
      <c r="J172">
        <f t="shared" si="12"/>
        <v>89641.065757120508</v>
      </c>
      <c r="L172">
        <f t="shared" si="13"/>
        <v>21072.961204835694</v>
      </c>
    </row>
    <row r="173" spans="1:12" x14ac:dyDescent="0.3">
      <c r="A173" s="23">
        <v>149.99</v>
      </c>
      <c r="B173" s="23">
        <v>149.99</v>
      </c>
      <c r="C173" s="23">
        <v>449.97</v>
      </c>
      <c r="H173">
        <f t="shared" si="10"/>
        <v>-145.16528925619821</v>
      </c>
      <c r="I173">
        <f t="shared" si="11"/>
        <v>-467.52033057851361</v>
      </c>
      <c r="J173">
        <f t="shared" si="12"/>
        <v>67867.72402158333</v>
      </c>
      <c r="L173">
        <f t="shared" si="13"/>
        <v>21072.961204835694</v>
      </c>
    </row>
    <row r="174" spans="1:12" x14ac:dyDescent="0.3">
      <c r="A174" s="23">
        <v>299.99</v>
      </c>
      <c r="B174" s="23">
        <v>299.99</v>
      </c>
      <c r="C174" s="23">
        <v>599.98</v>
      </c>
      <c r="H174">
        <f t="shared" si="10"/>
        <v>4.8347107438017929</v>
      </c>
      <c r="I174">
        <f t="shared" si="11"/>
        <v>-317.51033057851362</v>
      </c>
      <c r="J174">
        <f t="shared" si="12"/>
        <v>-1535.0706065159986</v>
      </c>
      <c r="L174">
        <f t="shared" si="13"/>
        <v>23.374427976232486</v>
      </c>
    </row>
    <row r="175" spans="1:12" x14ac:dyDescent="0.3">
      <c r="A175" s="23">
        <v>299.99</v>
      </c>
      <c r="B175" s="23">
        <v>299.99</v>
      </c>
      <c r="C175" s="23">
        <v>599.98</v>
      </c>
      <c r="H175">
        <f t="shared" si="10"/>
        <v>4.8347107438017929</v>
      </c>
      <c r="I175">
        <f t="shared" si="11"/>
        <v>-317.51033057851362</v>
      </c>
      <c r="J175">
        <f t="shared" si="12"/>
        <v>-1535.0706065159986</v>
      </c>
      <c r="L175">
        <f t="shared" si="13"/>
        <v>23.374427976232486</v>
      </c>
    </row>
    <row r="176" spans="1:12" x14ac:dyDescent="0.3">
      <c r="A176" s="23">
        <v>199.99</v>
      </c>
      <c r="B176" s="23">
        <v>199.99</v>
      </c>
      <c r="C176" s="23">
        <v>799.96</v>
      </c>
      <c r="H176">
        <f t="shared" si="10"/>
        <v>-95.165289256198207</v>
      </c>
      <c r="I176">
        <f t="shared" si="11"/>
        <v>-117.5303305785136</v>
      </c>
      <c r="J176">
        <f t="shared" si="12"/>
        <v>11184.807905880843</v>
      </c>
      <c r="L176">
        <f t="shared" si="13"/>
        <v>9056.4322792158746</v>
      </c>
    </row>
    <row r="177" spans="1:12" x14ac:dyDescent="0.3">
      <c r="A177" s="23">
        <v>89.99</v>
      </c>
      <c r="B177" s="23">
        <v>89.99</v>
      </c>
      <c r="C177" s="23">
        <v>89.99</v>
      </c>
      <c r="H177">
        <f t="shared" si="10"/>
        <v>-205.16528925619821</v>
      </c>
      <c r="I177">
        <f t="shared" si="11"/>
        <v>-827.50033057851363</v>
      </c>
      <c r="J177">
        <f t="shared" si="12"/>
        <v>169774.3446827404</v>
      </c>
      <c r="L177">
        <f t="shared" si="13"/>
        <v>42092.795915579482</v>
      </c>
    </row>
    <row r="178" spans="1:12" x14ac:dyDescent="0.3">
      <c r="A178" s="23">
        <v>149.99</v>
      </c>
      <c r="B178" s="23">
        <v>149.99</v>
      </c>
      <c r="C178" s="23">
        <v>749.95</v>
      </c>
      <c r="H178">
        <f t="shared" si="10"/>
        <v>-145.16528925619821</v>
      </c>
      <c r="I178">
        <f t="shared" si="11"/>
        <v>-167.54033057851359</v>
      </c>
      <c r="J178">
        <f t="shared" si="12"/>
        <v>24321.040550508995</v>
      </c>
      <c r="L178">
        <f t="shared" si="13"/>
        <v>21072.961204835694</v>
      </c>
    </row>
    <row r="179" spans="1:12" x14ac:dyDescent="0.3">
      <c r="A179" s="23">
        <v>899.99</v>
      </c>
      <c r="B179" s="23">
        <v>899.99</v>
      </c>
      <c r="C179" s="23">
        <v>899.99</v>
      </c>
      <c r="H179">
        <f t="shared" si="10"/>
        <v>604.83471074380179</v>
      </c>
      <c r="I179">
        <f t="shared" si="11"/>
        <v>-17.500330578513626</v>
      </c>
      <c r="J179">
        <f t="shared" si="12"/>
        <v>-10584.807383376199</v>
      </c>
      <c r="L179">
        <f t="shared" si="13"/>
        <v>365825.02732053836</v>
      </c>
    </row>
    <row r="180" spans="1:12" x14ac:dyDescent="0.3">
      <c r="A180" s="23">
        <v>89.99</v>
      </c>
      <c r="B180" s="23">
        <v>89.99</v>
      </c>
      <c r="C180" s="23">
        <v>179.98</v>
      </c>
      <c r="H180">
        <f t="shared" si="10"/>
        <v>-205.16528925619821</v>
      </c>
      <c r="I180">
        <f t="shared" si="11"/>
        <v>-737.51033057851362</v>
      </c>
      <c r="J180">
        <f t="shared" si="12"/>
        <v>151311.52030257511</v>
      </c>
      <c r="L180">
        <f t="shared" si="13"/>
        <v>42092.795915579482</v>
      </c>
    </row>
    <row r="181" spans="1:12" x14ac:dyDescent="0.3">
      <c r="A181" s="23">
        <v>899.99</v>
      </c>
      <c r="B181" s="23">
        <v>899.99</v>
      </c>
      <c r="C181" s="23">
        <v>899.99</v>
      </c>
      <c r="H181">
        <f t="shared" si="10"/>
        <v>604.83471074380179</v>
      </c>
      <c r="I181">
        <f t="shared" si="11"/>
        <v>-17.500330578513626</v>
      </c>
      <c r="J181">
        <f t="shared" si="12"/>
        <v>-10584.807383376199</v>
      </c>
      <c r="L181">
        <f t="shared" si="13"/>
        <v>365825.02732053836</v>
      </c>
    </row>
    <row r="182" spans="1:12" x14ac:dyDescent="0.3">
      <c r="A182" s="23">
        <v>149.99</v>
      </c>
      <c r="B182" s="23">
        <v>149.99</v>
      </c>
      <c r="C182" s="23">
        <v>749.95</v>
      </c>
      <c r="H182">
        <f t="shared" si="10"/>
        <v>-145.16528925619821</v>
      </c>
      <c r="I182">
        <f t="shared" si="11"/>
        <v>-167.54033057851359</v>
      </c>
      <c r="J182">
        <f t="shared" si="12"/>
        <v>24321.040550508995</v>
      </c>
      <c r="L182">
        <f t="shared" si="13"/>
        <v>21072.961204835694</v>
      </c>
    </row>
    <row r="183" spans="1:12" x14ac:dyDescent="0.3">
      <c r="A183" s="23">
        <v>299.99</v>
      </c>
      <c r="B183" s="23">
        <v>299.99</v>
      </c>
      <c r="C183" s="23">
        <v>899.97</v>
      </c>
      <c r="H183">
        <f t="shared" si="10"/>
        <v>4.8347107438017929</v>
      </c>
      <c r="I183">
        <f t="shared" si="11"/>
        <v>-17.520330578513608</v>
      </c>
      <c r="J183">
        <f t="shared" si="12"/>
        <v>-84.705730482898829</v>
      </c>
      <c r="L183">
        <f t="shared" si="13"/>
        <v>23.374427976232486</v>
      </c>
    </row>
    <row r="184" spans="1:12" x14ac:dyDescent="0.3">
      <c r="A184" s="23">
        <v>699.99</v>
      </c>
      <c r="B184" s="23">
        <v>699.99</v>
      </c>
      <c r="C184" s="23">
        <v>2099.9699999999998</v>
      </c>
      <c r="H184">
        <f t="shared" si="10"/>
        <v>404.83471074380179</v>
      </c>
      <c r="I184">
        <f t="shared" si="11"/>
        <v>1182.4796694214861</v>
      </c>
      <c r="J184">
        <f t="shared" si="12"/>
        <v>478708.81493067369</v>
      </c>
      <c r="L184">
        <f t="shared" si="13"/>
        <v>163891.14302301768</v>
      </c>
    </row>
    <row r="185" spans="1:12" x14ac:dyDescent="0.3">
      <c r="A185" s="23">
        <v>199.99</v>
      </c>
      <c r="B185" s="23">
        <v>199.99</v>
      </c>
      <c r="C185" s="23">
        <v>999.95</v>
      </c>
      <c r="H185">
        <f t="shared" si="10"/>
        <v>-95.165289256198207</v>
      </c>
      <c r="I185">
        <f t="shared" si="11"/>
        <v>82.45966942148641</v>
      </c>
      <c r="J185">
        <f t="shared" si="12"/>
        <v>-7847.2982924662365</v>
      </c>
      <c r="L185">
        <f t="shared" si="13"/>
        <v>9056.4322792158746</v>
      </c>
    </row>
    <row r="186" spans="1:12" x14ac:dyDescent="0.3">
      <c r="A186" s="23">
        <v>249.99</v>
      </c>
      <c r="B186" s="23">
        <v>249.99</v>
      </c>
      <c r="C186" s="23">
        <v>1249.95</v>
      </c>
      <c r="H186">
        <f t="shared" si="10"/>
        <v>-45.165289256198207</v>
      </c>
      <c r="I186">
        <f t="shared" si="11"/>
        <v>332.45966942148641</v>
      </c>
      <c r="J186">
        <f t="shared" si="12"/>
        <v>-15015.637135441468</v>
      </c>
      <c r="L186">
        <f t="shared" si="13"/>
        <v>2039.9033535960532</v>
      </c>
    </row>
    <row r="187" spans="1:12" x14ac:dyDescent="0.3">
      <c r="A187" s="23">
        <v>149.99</v>
      </c>
      <c r="B187" s="23">
        <v>149.99</v>
      </c>
      <c r="C187" s="23">
        <v>599.96</v>
      </c>
      <c r="H187">
        <f t="shared" si="10"/>
        <v>-145.16528925619821</v>
      </c>
      <c r="I187">
        <f t="shared" si="11"/>
        <v>-317.5303305785136</v>
      </c>
      <c r="J187">
        <f t="shared" si="12"/>
        <v>46094.382286046166</v>
      </c>
      <c r="L187">
        <f t="shared" si="13"/>
        <v>21072.961204835694</v>
      </c>
    </row>
    <row r="188" spans="1:12" x14ac:dyDescent="0.3">
      <c r="A188" s="23">
        <v>699.99</v>
      </c>
      <c r="B188" s="23">
        <v>699.99</v>
      </c>
      <c r="C188" s="23">
        <v>2099.9699999999998</v>
      </c>
      <c r="H188">
        <f t="shared" si="10"/>
        <v>404.83471074380179</v>
      </c>
      <c r="I188">
        <f t="shared" si="11"/>
        <v>1182.4796694214861</v>
      </c>
      <c r="J188">
        <f t="shared" si="12"/>
        <v>478708.81493067369</v>
      </c>
      <c r="L188">
        <f t="shared" si="13"/>
        <v>163891.14302301768</v>
      </c>
    </row>
    <row r="189" spans="1:12" x14ac:dyDescent="0.3">
      <c r="A189" s="23">
        <v>79.989999999999995</v>
      </c>
      <c r="B189" s="23">
        <v>79.989999999999995</v>
      </c>
      <c r="C189" s="23">
        <v>79.989999999999995</v>
      </c>
      <c r="H189">
        <f t="shared" si="10"/>
        <v>-215.16528925619821</v>
      </c>
      <c r="I189">
        <f t="shared" si="11"/>
        <v>-837.50033057851363</v>
      </c>
      <c r="J189">
        <f t="shared" si="12"/>
        <v>180201.0008810875</v>
      </c>
      <c r="L189">
        <f t="shared" si="13"/>
        <v>46296.101700703446</v>
      </c>
    </row>
    <row r="190" spans="1:12" x14ac:dyDescent="0.3">
      <c r="A190" s="23">
        <v>299.99</v>
      </c>
      <c r="B190" s="23">
        <v>299.99</v>
      </c>
      <c r="C190" s="23">
        <v>299.99</v>
      </c>
      <c r="H190">
        <f t="shared" si="10"/>
        <v>4.8347107438017929</v>
      </c>
      <c r="I190">
        <f t="shared" si="11"/>
        <v>-617.50033057851363</v>
      </c>
      <c r="J190">
        <f t="shared" si="12"/>
        <v>-2985.4354825490987</v>
      </c>
      <c r="L190">
        <f t="shared" si="13"/>
        <v>23.374427976232486</v>
      </c>
    </row>
    <row r="191" spans="1:12" x14ac:dyDescent="0.3">
      <c r="A191" s="23">
        <v>249.99</v>
      </c>
      <c r="B191" s="23">
        <v>249.99</v>
      </c>
      <c r="C191" s="23">
        <v>999.96</v>
      </c>
      <c r="H191">
        <f t="shared" si="10"/>
        <v>-45.165289256198207</v>
      </c>
      <c r="I191">
        <f t="shared" si="11"/>
        <v>82.469669421486401</v>
      </c>
      <c r="J191">
        <f t="shared" si="12"/>
        <v>-3724.7664742844777</v>
      </c>
      <c r="L191">
        <f t="shared" si="13"/>
        <v>2039.9033535960532</v>
      </c>
    </row>
    <row r="192" spans="1:12" x14ac:dyDescent="0.3">
      <c r="A192" s="23">
        <v>149.99</v>
      </c>
      <c r="B192" s="23">
        <v>149.99</v>
      </c>
      <c r="C192" s="23">
        <v>299.98</v>
      </c>
      <c r="H192">
        <f t="shared" si="10"/>
        <v>-145.16528925619821</v>
      </c>
      <c r="I192">
        <f t="shared" si="11"/>
        <v>-617.51033057851362</v>
      </c>
      <c r="J192">
        <f t="shared" si="12"/>
        <v>89641.065757120508</v>
      </c>
      <c r="L192">
        <f t="shared" si="13"/>
        <v>21072.961204835694</v>
      </c>
    </row>
    <row r="193" spans="1:12" x14ac:dyDescent="0.3">
      <c r="A193" s="23">
        <v>299.99</v>
      </c>
      <c r="B193" s="23">
        <v>299.99</v>
      </c>
      <c r="C193" s="23">
        <v>899.97</v>
      </c>
      <c r="H193">
        <f t="shared" si="10"/>
        <v>4.8347107438017929</v>
      </c>
      <c r="I193">
        <f t="shared" si="11"/>
        <v>-17.520330578513608</v>
      </c>
      <c r="J193">
        <f t="shared" si="12"/>
        <v>-84.705730482898829</v>
      </c>
      <c r="L193">
        <f t="shared" si="13"/>
        <v>23.374427976232486</v>
      </c>
    </row>
    <row r="194" spans="1:12" x14ac:dyDescent="0.3">
      <c r="A194" s="23">
        <v>199.99</v>
      </c>
      <c r="B194" s="23">
        <v>199.99</v>
      </c>
      <c r="C194" s="23">
        <v>799.96</v>
      </c>
      <c r="H194">
        <f t="shared" si="10"/>
        <v>-95.165289256198207</v>
      </c>
      <c r="I194">
        <f t="shared" si="11"/>
        <v>-117.5303305785136</v>
      </c>
      <c r="J194">
        <f t="shared" si="12"/>
        <v>11184.807905880843</v>
      </c>
      <c r="L194">
        <f t="shared" si="13"/>
        <v>9056.4322792158746</v>
      </c>
    </row>
    <row r="195" spans="1:12" x14ac:dyDescent="0.3">
      <c r="A195" s="23">
        <v>299.99</v>
      </c>
      <c r="B195" s="23">
        <v>299.99</v>
      </c>
      <c r="C195" s="23">
        <v>1499.95</v>
      </c>
      <c r="H195">
        <f t="shared" ref="H195:H243" si="14">B195-$F$2</f>
        <v>4.8347107438017929</v>
      </c>
      <c r="I195">
        <f t="shared" ref="I195:I243" si="15">C195-$G$2</f>
        <v>582.45966942148641</v>
      </c>
      <c r="J195">
        <f t="shared" ref="J195:J243" si="16">H195*I195</f>
        <v>2816.024021583301</v>
      </c>
      <c r="L195">
        <f t="shared" ref="L195:L243" si="17">H195*H195</f>
        <v>23.374427976232486</v>
      </c>
    </row>
    <row r="196" spans="1:12" x14ac:dyDescent="0.3">
      <c r="A196" s="23">
        <v>149.99</v>
      </c>
      <c r="B196" s="23">
        <v>149.99</v>
      </c>
      <c r="C196" s="23">
        <v>449.97</v>
      </c>
      <c r="H196">
        <f t="shared" si="14"/>
        <v>-145.16528925619821</v>
      </c>
      <c r="I196">
        <f t="shared" si="15"/>
        <v>-467.52033057851361</v>
      </c>
      <c r="J196">
        <f t="shared" si="16"/>
        <v>67867.72402158333</v>
      </c>
      <c r="L196">
        <f t="shared" si="17"/>
        <v>21072.961204835694</v>
      </c>
    </row>
    <row r="197" spans="1:12" x14ac:dyDescent="0.3">
      <c r="A197" s="23">
        <v>59.99</v>
      </c>
      <c r="B197" s="23">
        <v>59.99</v>
      </c>
      <c r="C197" s="23">
        <v>299.95</v>
      </c>
      <c r="H197">
        <f t="shared" si="14"/>
        <v>-235.16528925619821</v>
      </c>
      <c r="I197">
        <f t="shared" si="15"/>
        <v>-617.5403305785137</v>
      </c>
      <c r="J197">
        <f t="shared" si="16"/>
        <v>145224.05046786444</v>
      </c>
      <c r="L197">
        <f t="shared" si="17"/>
        <v>55302.713270951375</v>
      </c>
    </row>
    <row r="198" spans="1:12" x14ac:dyDescent="0.3">
      <c r="A198" s="23">
        <v>59.99</v>
      </c>
      <c r="B198" s="23">
        <v>59.99</v>
      </c>
      <c r="C198" s="23">
        <v>239.96</v>
      </c>
      <c r="H198">
        <f t="shared" si="14"/>
        <v>-235.16528925619821</v>
      </c>
      <c r="I198">
        <f t="shared" si="15"/>
        <v>-677.5303305785136</v>
      </c>
      <c r="J198">
        <f t="shared" si="16"/>
        <v>159331.61617034374</v>
      </c>
      <c r="L198">
        <f t="shared" si="17"/>
        <v>55302.713270951375</v>
      </c>
    </row>
    <row r="199" spans="1:12" x14ac:dyDescent="0.3">
      <c r="A199" s="23">
        <v>249.99</v>
      </c>
      <c r="B199" s="23">
        <v>249.99</v>
      </c>
      <c r="C199" s="23">
        <v>999.96</v>
      </c>
      <c r="H199">
        <f t="shared" si="14"/>
        <v>-45.165289256198207</v>
      </c>
      <c r="I199">
        <f t="shared" si="15"/>
        <v>82.469669421486401</v>
      </c>
      <c r="J199">
        <f t="shared" si="16"/>
        <v>-3724.7664742844777</v>
      </c>
      <c r="L199">
        <f t="shared" si="17"/>
        <v>2039.9033535960532</v>
      </c>
    </row>
    <row r="200" spans="1:12" x14ac:dyDescent="0.3">
      <c r="A200" s="23">
        <v>899.99</v>
      </c>
      <c r="B200" s="23">
        <v>899.99</v>
      </c>
      <c r="C200" s="23">
        <v>3599.96</v>
      </c>
      <c r="H200">
        <f t="shared" si="14"/>
        <v>604.83471074380179</v>
      </c>
      <c r="I200">
        <f t="shared" si="15"/>
        <v>2682.4696694214863</v>
      </c>
      <c r="J200">
        <f t="shared" si="16"/>
        <v>1622450.7665835663</v>
      </c>
      <c r="L200">
        <f t="shared" si="17"/>
        <v>365825.02732053836</v>
      </c>
    </row>
    <row r="201" spans="1:12" x14ac:dyDescent="0.3">
      <c r="A201" s="23">
        <v>299.99</v>
      </c>
      <c r="B201" s="23">
        <v>299.99</v>
      </c>
      <c r="C201" s="23">
        <v>899.97</v>
      </c>
      <c r="H201">
        <f t="shared" si="14"/>
        <v>4.8347107438017929</v>
      </c>
      <c r="I201">
        <f t="shared" si="15"/>
        <v>-17.520330578513608</v>
      </c>
      <c r="J201">
        <f t="shared" si="16"/>
        <v>-84.705730482898829</v>
      </c>
      <c r="L201">
        <f t="shared" si="17"/>
        <v>23.374427976232486</v>
      </c>
    </row>
    <row r="202" spans="1:12" x14ac:dyDescent="0.3">
      <c r="A202" s="23">
        <v>699.99</v>
      </c>
      <c r="B202" s="23">
        <v>699.99</v>
      </c>
      <c r="C202" s="23">
        <v>1399.98</v>
      </c>
      <c r="H202">
        <f t="shared" si="14"/>
        <v>404.83471074380179</v>
      </c>
      <c r="I202">
        <f t="shared" si="15"/>
        <v>482.48966942148638</v>
      </c>
      <c r="J202">
        <f t="shared" si="16"/>
        <v>195328.56575712</v>
      </c>
      <c r="L202">
        <f t="shared" si="17"/>
        <v>163891.14302301768</v>
      </c>
    </row>
    <row r="203" spans="1:12" x14ac:dyDescent="0.3">
      <c r="A203" s="23">
        <v>699.99</v>
      </c>
      <c r="B203" s="23">
        <v>699.99</v>
      </c>
      <c r="C203" s="23">
        <v>2799.96</v>
      </c>
      <c r="H203">
        <f t="shared" si="14"/>
        <v>404.83471074380179</v>
      </c>
      <c r="I203">
        <f t="shared" si="15"/>
        <v>1882.4696694214863</v>
      </c>
      <c r="J203">
        <f t="shared" si="16"/>
        <v>762089.06410422758</v>
      </c>
      <c r="L203">
        <f t="shared" si="17"/>
        <v>163891.14302301768</v>
      </c>
    </row>
    <row r="204" spans="1:12" x14ac:dyDescent="0.3">
      <c r="A204" s="23">
        <v>89.99</v>
      </c>
      <c r="B204" s="23">
        <v>89.99</v>
      </c>
      <c r="C204" s="23">
        <v>179.98</v>
      </c>
      <c r="H204">
        <f t="shared" si="14"/>
        <v>-205.16528925619821</v>
      </c>
      <c r="I204">
        <f t="shared" si="15"/>
        <v>-737.51033057851362</v>
      </c>
      <c r="J204">
        <f t="shared" si="16"/>
        <v>151311.52030257511</v>
      </c>
      <c r="L204">
        <f t="shared" si="17"/>
        <v>42092.795915579482</v>
      </c>
    </row>
    <row r="205" spans="1:12" x14ac:dyDescent="0.3">
      <c r="A205" s="23">
        <v>89.99</v>
      </c>
      <c r="B205" s="23">
        <v>89.99</v>
      </c>
      <c r="C205" s="23">
        <v>269.97000000000003</v>
      </c>
      <c r="H205">
        <f t="shared" si="14"/>
        <v>-205.16528925619821</v>
      </c>
      <c r="I205">
        <f t="shared" si="15"/>
        <v>-647.52033057851361</v>
      </c>
      <c r="J205">
        <f t="shared" si="16"/>
        <v>132848.69592240982</v>
      </c>
      <c r="L205">
        <f t="shared" si="17"/>
        <v>42092.795915579482</v>
      </c>
    </row>
    <row r="206" spans="1:12" x14ac:dyDescent="0.3">
      <c r="A206" s="23">
        <v>59.99</v>
      </c>
      <c r="B206" s="23">
        <v>59.99</v>
      </c>
      <c r="C206" s="23">
        <v>59.99</v>
      </c>
      <c r="H206">
        <f t="shared" si="14"/>
        <v>-235.16528925619821</v>
      </c>
      <c r="I206">
        <f t="shared" si="15"/>
        <v>-857.50033057851363</v>
      </c>
      <c r="J206">
        <f t="shared" si="16"/>
        <v>201654.31327778174</v>
      </c>
      <c r="L206">
        <f t="shared" si="17"/>
        <v>55302.713270951375</v>
      </c>
    </row>
    <row r="207" spans="1:12" x14ac:dyDescent="0.3">
      <c r="A207" s="23">
        <v>149.99</v>
      </c>
      <c r="B207" s="23">
        <v>149.99</v>
      </c>
      <c r="C207" s="23">
        <v>449.97</v>
      </c>
      <c r="H207">
        <f t="shared" si="14"/>
        <v>-145.16528925619821</v>
      </c>
      <c r="I207">
        <f t="shared" si="15"/>
        <v>-467.52033057851361</v>
      </c>
      <c r="J207">
        <f t="shared" si="16"/>
        <v>67867.72402158333</v>
      </c>
      <c r="L207">
        <f t="shared" si="17"/>
        <v>21072.961204835694</v>
      </c>
    </row>
    <row r="208" spans="1:12" x14ac:dyDescent="0.3">
      <c r="A208" s="23">
        <v>299.99</v>
      </c>
      <c r="B208" s="23">
        <v>299.99</v>
      </c>
      <c r="C208" s="23">
        <v>1499.95</v>
      </c>
      <c r="H208">
        <f t="shared" si="14"/>
        <v>4.8347107438017929</v>
      </c>
      <c r="I208">
        <f t="shared" si="15"/>
        <v>582.45966942148641</v>
      </c>
      <c r="J208">
        <f t="shared" si="16"/>
        <v>2816.024021583301</v>
      </c>
      <c r="L208">
        <f t="shared" si="17"/>
        <v>23.374427976232486</v>
      </c>
    </row>
    <row r="209" spans="1:12" x14ac:dyDescent="0.3">
      <c r="A209" s="23">
        <v>59.99</v>
      </c>
      <c r="B209" s="23">
        <v>59.99</v>
      </c>
      <c r="C209" s="23">
        <v>299.95</v>
      </c>
      <c r="H209">
        <f t="shared" si="14"/>
        <v>-235.16528925619821</v>
      </c>
      <c r="I209">
        <f t="shared" si="15"/>
        <v>-617.5403305785137</v>
      </c>
      <c r="J209">
        <f t="shared" si="16"/>
        <v>145224.05046786444</v>
      </c>
      <c r="L209">
        <f t="shared" si="17"/>
        <v>55302.713270951375</v>
      </c>
    </row>
    <row r="210" spans="1:12" x14ac:dyDescent="0.3">
      <c r="A210" s="23">
        <v>79.989999999999995</v>
      </c>
      <c r="B210" s="23">
        <v>79.989999999999995</v>
      </c>
      <c r="C210" s="23">
        <v>239.97</v>
      </c>
      <c r="H210">
        <f t="shared" si="14"/>
        <v>-215.16528925619821</v>
      </c>
      <c r="I210">
        <f t="shared" si="15"/>
        <v>-677.52033057851361</v>
      </c>
      <c r="J210">
        <f t="shared" si="16"/>
        <v>145778.8579058809</v>
      </c>
      <c r="L210">
        <f t="shared" si="17"/>
        <v>46296.101700703446</v>
      </c>
    </row>
    <row r="211" spans="1:12" x14ac:dyDescent="0.3">
      <c r="A211" s="23">
        <v>199.99</v>
      </c>
      <c r="B211" s="23">
        <v>199.99</v>
      </c>
      <c r="C211" s="23">
        <v>599.97</v>
      </c>
      <c r="H211">
        <f t="shared" si="14"/>
        <v>-95.165289256198207</v>
      </c>
      <c r="I211">
        <f t="shared" si="15"/>
        <v>-317.52033057851361</v>
      </c>
      <c r="J211">
        <f t="shared" si="16"/>
        <v>30216.914104227923</v>
      </c>
      <c r="L211">
        <f t="shared" si="17"/>
        <v>9056.4322792158746</v>
      </c>
    </row>
    <row r="212" spans="1:12" x14ac:dyDescent="0.3">
      <c r="A212" s="23">
        <v>89.99</v>
      </c>
      <c r="B212" s="23">
        <v>89.99</v>
      </c>
      <c r="C212" s="23">
        <v>179.98</v>
      </c>
      <c r="H212">
        <f t="shared" si="14"/>
        <v>-205.16528925619821</v>
      </c>
      <c r="I212">
        <f t="shared" si="15"/>
        <v>-737.51033057851362</v>
      </c>
      <c r="J212">
        <f t="shared" si="16"/>
        <v>151311.52030257511</v>
      </c>
      <c r="L212">
        <f t="shared" si="17"/>
        <v>42092.795915579482</v>
      </c>
    </row>
    <row r="213" spans="1:12" x14ac:dyDescent="0.3">
      <c r="A213" s="23">
        <v>149.99</v>
      </c>
      <c r="B213" s="23">
        <v>149.99</v>
      </c>
      <c r="C213" s="23">
        <v>299.98</v>
      </c>
      <c r="H213">
        <f t="shared" si="14"/>
        <v>-145.16528925619821</v>
      </c>
      <c r="I213">
        <f t="shared" si="15"/>
        <v>-617.51033057851362</v>
      </c>
      <c r="J213">
        <f t="shared" si="16"/>
        <v>89641.065757120508</v>
      </c>
      <c r="L213">
        <f t="shared" si="17"/>
        <v>21072.961204835694</v>
      </c>
    </row>
    <row r="214" spans="1:12" x14ac:dyDescent="0.3">
      <c r="A214" s="23">
        <v>699.99</v>
      </c>
      <c r="B214" s="23">
        <v>699.99</v>
      </c>
      <c r="C214" s="23">
        <v>3499.95</v>
      </c>
      <c r="H214">
        <f t="shared" si="14"/>
        <v>404.83471074380179</v>
      </c>
      <c r="I214">
        <f t="shared" si="15"/>
        <v>2582.4596694214861</v>
      </c>
      <c r="J214">
        <f t="shared" si="16"/>
        <v>1045469.3132777814</v>
      </c>
      <c r="L214">
        <f t="shared" si="17"/>
        <v>163891.14302301768</v>
      </c>
    </row>
    <row r="215" spans="1:12" x14ac:dyDescent="0.3">
      <c r="A215" s="23">
        <v>149.99</v>
      </c>
      <c r="B215" s="23">
        <v>149.99</v>
      </c>
      <c r="C215" s="23">
        <v>449.97</v>
      </c>
      <c r="H215">
        <f t="shared" si="14"/>
        <v>-145.16528925619821</v>
      </c>
      <c r="I215">
        <f t="shared" si="15"/>
        <v>-467.52033057851361</v>
      </c>
      <c r="J215">
        <f t="shared" si="16"/>
        <v>67867.72402158333</v>
      </c>
      <c r="L215">
        <f t="shared" si="17"/>
        <v>21072.961204835694</v>
      </c>
    </row>
    <row r="216" spans="1:12" x14ac:dyDescent="0.3">
      <c r="A216" s="23">
        <v>899.99</v>
      </c>
      <c r="B216" s="23">
        <v>899.99</v>
      </c>
      <c r="C216" s="23">
        <v>2699.97</v>
      </c>
      <c r="H216">
        <f t="shared" si="14"/>
        <v>604.83471074380179</v>
      </c>
      <c r="I216">
        <f t="shared" si="15"/>
        <v>1782.4796694214861</v>
      </c>
      <c r="J216">
        <f t="shared" si="16"/>
        <v>1078105.575261252</v>
      </c>
      <c r="L216">
        <f t="shared" si="17"/>
        <v>365825.02732053836</v>
      </c>
    </row>
    <row r="217" spans="1:12" x14ac:dyDescent="0.3">
      <c r="A217" s="23">
        <v>199.99</v>
      </c>
      <c r="B217" s="23">
        <v>199.99</v>
      </c>
      <c r="C217" s="23">
        <v>599.97</v>
      </c>
      <c r="H217">
        <f t="shared" si="14"/>
        <v>-95.165289256198207</v>
      </c>
      <c r="I217">
        <f t="shared" si="15"/>
        <v>-317.52033057851361</v>
      </c>
      <c r="J217">
        <f t="shared" si="16"/>
        <v>30216.914104227923</v>
      </c>
      <c r="L217">
        <f t="shared" si="17"/>
        <v>9056.4322792158746</v>
      </c>
    </row>
    <row r="218" spans="1:12" x14ac:dyDescent="0.3">
      <c r="A218" s="23">
        <v>299.99</v>
      </c>
      <c r="B218" s="23">
        <v>299.99</v>
      </c>
      <c r="C218" s="23">
        <v>1499.95</v>
      </c>
      <c r="H218">
        <f t="shared" si="14"/>
        <v>4.8347107438017929</v>
      </c>
      <c r="I218">
        <f t="shared" si="15"/>
        <v>582.45966942148641</v>
      </c>
      <c r="J218">
        <f t="shared" si="16"/>
        <v>2816.024021583301</v>
      </c>
      <c r="L218">
        <f t="shared" si="17"/>
        <v>23.374427976232486</v>
      </c>
    </row>
    <row r="219" spans="1:12" x14ac:dyDescent="0.3">
      <c r="A219" s="23">
        <v>699.99</v>
      </c>
      <c r="B219" s="23">
        <v>699.99</v>
      </c>
      <c r="C219" s="23">
        <v>699.99</v>
      </c>
      <c r="H219">
        <f t="shared" si="14"/>
        <v>404.83471074380179</v>
      </c>
      <c r="I219">
        <f t="shared" si="15"/>
        <v>-217.50033057851363</v>
      </c>
      <c r="J219">
        <f t="shared" si="16"/>
        <v>-88051.683416433836</v>
      </c>
      <c r="L219">
        <f t="shared" si="17"/>
        <v>163891.14302301768</v>
      </c>
    </row>
    <row r="220" spans="1:12" x14ac:dyDescent="0.3">
      <c r="A220" s="23">
        <v>699.99</v>
      </c>
      <c r="B220" s="23">
        <v>699.99</v>
      </c>
      <c r="C220" s="23">
        <v>699.99</v>
      </c>
      <c r="H220">
        <f t="shared" si="14"/>
        <v>404.83471074380179</v>
      </c>
      <c r="I220">
        <f t="shared" si="15"/>
        <v>-217.50033057851363</v>
      </c>
      <c r="J220">
        <f t="shared" si="16"/>
        <v>-88051.683416433836</v>
      </c>
      <c r="L220">
        <f t="shared" si="17"/>
        <v>163891.14302301768</v>
      </c>
    </row>
    <row r="221" spans="1:12" x14ac:dyDescent="0.3">
      <c r="A221" s="23">
        <v>149.99</v>
      </c>
      <c r="B221" s="23">
        <v>149.99</v>
      </c>
      <c r="C221" s="23">
        <v>599.96</v>
      </c>
      <c r="H221">
        <f t="shared" si="14"/>
        <v>-145.16528925619821</v>
      </c>
      <c r="I221">
        <f t="shared" si="15"/>
        <v>-317.5303305785136</v>
      </c>
      <c r="J221">
        <f t="shared" si="16"/>
        <v>46094.382286046166</v>
      </c>
      <c r="L221">
        <f t="shared" si="17"/>
        <v>21072.961204835694</v>
      </c>
    </row>
    <row r="222" spans="1:12" x14ac:dyDescent="0.3">
      <c r="A222" s="23">
        <v>89.99</v>
      </c>
      <c r="B222" s="23">
        <v>89.99</v>
      </c>
      <c r="C222" s="23">
        <v>449.95</v>
      </c>
      <c r="H222">
        <f t="shared" si="14"/>
        <v>-205.16528925619821</v>
      </c>
      <c r="I222">
        <f t="shared" si="15"/>
        <v>-467.54033057851365</v>
      </c>
      <c r="J222">
        <f t="shared" si="16"/>
        <v>95923.047162079281</v>
      </c>
      <c r="L222">
        <f t="shared" si="17"/>
        <v>42092.795915579482</v>
      </c>
    </row>
    <row r="223" spans="1:12" x14ac:dyDescent="0.3">
      <c r="A223" s="23">
        <v>199.99</v>
      </c>
      <c r="B223" s="23">
        <v>199.99</v>
      </c>
      <c r="C223" s="23">
        <v>399.98</v>
      </c>
      <c r="H223">
        <f t="shared" si="14"/>
        <v>-95.165289256198207</v>
      </c>
      <c r="I223">
        <f t="shared" si="15"/>
        <v>-517.51033057851362</v>
      </c>
      <c r="J223">
        <f t="shared" si="16"/>
        <v>49249.020302575002</v>
      </c>
      <c r="L223">
        <f t="shared" si="17"/>
        <v>9056.4322792158746</v>
      </c>
    </row>
    <row r="224" spans="1:12" x14ac:dyDescent="0.3">
      <c r="A224" s="23">
        <v>59.99</v>
      </c>
      <c r="B224" s="23">
        <v>59.99</v>
      </c>
      <c r="C224" s="23">
        <v>239.96</v>
      </c>
      <c r="H224">
        <f t="shared" si="14"/>
        <v>-235.16528925619821</v>
      </c>
      <c r="I224">
        <f t="shared" si="15"/>
        <v>-677.5303305785136</v>
      </c>
      <c r="J224">
        <f t="shared" si="16"/>
        <v>159331.61617034374</v>
      </c>
      <c r="L224">
        <f t="shared" si="17"/>
        <v>55302.713270951375</v>
      </c>
    </row>
    <row r="225" spans="1:12" x14ac:dyDescent="0.3">
      <c r="A225" s="23">
        <v>299.99</v>
      </c>
      <c r="B225" s="23">
        <v>299.99</v>
      </c>
      <c r="C225" s="23">
        <v>599.98</v>
      </c>
      <c r="H225">
        <f t="shared" si="14"/>
        <v>4.8347107438017929</v>
      </c>
      <c r="I225">
        <f t="shared" si="15"/>
        <v>-317.51033057851362</v>
      </c>
      <c r="J225">
        <f t="shared" si="16"/>
        <v>-1535.0706065159986</v>
      </c>
      <c r="L225">
        <f t="shared" si="17"/>
        <v>23.374427976232486</v>
      </c>
    </row>
    <row r="226" spans="1:12" x14ac:dyDescent="0.3">
      <c r="A226" s="23">
        <v>149.99</v>
      </c>
      <c r="B226" s="23">
        <v>149.99</v>
      </c>
      <c r="C226" s="23">
        <v>299.98</v>
      </c>
      <c r="H226">
        <f t="shared" si="14"/>
        <v>-145.16528925619821</v>
      </c>
      <c r="I226">
        <f t="shared" si="15"/>
        <v>-617.51033057851362</v>
      </c>
      <c r="J226">
        <f t="shared" si="16"/>
        <v>89641.065757120508</v>
      </c>
      <c r="L226">
        <f t="shared" si="17"/>
        <v>21072.961204835694</v>
      </c>
    </row>
    <row r="227" spans="1:12" x14ac:dyDescent="0.3">
      <c r="A227" s="23">
        <v>699.99</v>
      </c>
      <c r="B227" s="23">
        <v>699.99</v>
      </c>
      <c r="C227" s="23">
        <v>3499.95</v>
      </c>
      <c r="H227">
        <f t="shared" si="14"/>
        <v>404.83471074380179</v>
      </c>
      <c r="I227">
        <f t="shared" si="15"/>
        <v>2582.4596694214861</v>
      </c>
      <c r="J227">
        <f t="shared" si="16"/>
        <v>1045469.3132777814</v>
      </c>
      <c r="L227">
        <f t="shared" si="17"/>
        <v>163891.14302301768</v>
      </c>
    </row>
    <row r="228" spans="1:12" x14ac:dyDescent="0.3">
      <c r="A228" s="23">
        <v>59.99</v>
      </c>
      <c r="B228" s="23">
        <v>59.99</v>
      </c>
      <c r="C228" s="23">
        <v>299.95</v>
      </c>
      <c r="H228">
        <f t="shared" si="14"/>
        <v>-235.16528925619821</v>
      </c>
      <c r="I228">
        <f t="shared" si="15"/>
        <v>-617.5403305785137</v>
      </c>
      <c r="J228">
        <f t="shared" si="16"/>
        <v>145224.05046786444</v>
      </c>
      <c r="L228">
        <f t="shared" si="17"/>
        <v>55302.713270951375</v>
      </c>
    </row>
    <row r="229" spans="1:12" x14ac:dyDescent="0.3">
      <c r="A229" s="23">
        <v>89.99</v>
      </c>
      <c r="B229" s="23">
        <v>89.99</v>
      </c>
      <c r="C229" s="23">
        <v>179.98</v>
      </c>
      <c r="H229">
        <f t="shared" si="14"/>
        <v>-205.16528925619821</v>
      </c>
      <c r="I229">
        <f t="shared" si="15"/>
        <v>-737.51033057851362</v>
      </c>
      <c r="J229">
        <f t="shared" si="16"/>
        <v>151311.52030257511</v>
      </c>
      <c r="L229">
        <f t="shared" si="17"/>
        <v>42092.795915579482</v>
      </c>
    </row>
    <row r="230" spans="1:12" x14ac:dyDescent="0.3">
      <c r="A230" s="23">
        <v>249.99</v>
      </c>
      <c r="B230" s="23">
        <v>249.99</v>
      </c>
      <c r="C230" s="23">
        <v>1249.95</v>
      </c>
      <c r="H230">
        <f t="shared" si="14"/>
        <v>-45.165289256198207</v>
      </c>
      <c r="I230">
        <f t="shared" si="15"/>
        <v>332.45966942148641</v>
      </c>
      <c r="J230">
        <f t="shared" si="16"/>
        <v>-15015.637135441468</v>
      </c>
      <c r="L230">
        <f t="shared" si="17"/>
        <v>2039.9033535960532</v>
      </c>
    </row>
    <row r="231" spans="1:12" x14ac:dyDescent="0.3">
      <c r="A231" s="23">
        <v>149.99</v>
      </c>
      <c r="B231" s="23">
        <v>149.99</v>
      </c>
      <c r="C231" s="23">
        <v>299.98</v>
      </c>
      <c r="H231">
        <f t="shared" si="14"/>
        <v>-145.16528925619821</v>
      </c>
      <c r="I231">
        <f t="shared" si="15"/>
        <v>-617.51033057851362</v>
      </c>
      <c r="J231">
        <f t="shared" si="16"/>
        <v>89641.065757120508</v>
      </c>
      <c r="L231">
        <f t="shared" si="17"/>
        <v>21072.961204835694</v>
      </c>
    </row>
    <row r="232" spans="1:12" x14ac:dyDescent="0.3">
      <c r="A232" s="23">
        <v>899.99</v>
      </c>
      <c r="B232" s="23">
        <v>899.99</v>
      </c>
      <c r="C232" s="23">
        <v>4499.95</v>
      </c>
      <c r="H232">
        <f t="shared" si="14"/>
        <v>604.83471074380179</v>
      </c>
      <c r="I232">
        <f t="shared" si="15"/>
        <v>3582.4596694214861</v>
      </c>
      <c r="J232">
        <f t="shared" si="16"/>
        <v>2166795.9579058802</v>
      </c>
      <c r="L232">
        <f t="shared" si="17"/>
        <v>365825.02732053836</v>
      </c>
    </row>
    <row r="233" spans="1:12" x14ac:dyDescent="0.3">
      <c r="A233" s="23">
        <v>149.99</v>
      </c>
      <c r="B233" s="23">
        <v>149.99</v>
      </c>
      <c r="C233" s="23">
        <v>599.96</v>
      </c>
      <c r="H233">
        <f t="shared" si="14"/>
        <v>-145.16528925619821</v>
      </c>
      <c r="I233">
        <f t="shared" si="15"/>
        <v>-317.5303305785136</v>
      </c>
      <c r="J233">
        <f t="shared" si="16"/>
        <v>46094.382286046166</v>
      </c>
      <c r="L233">
        <f t="shared" si="17"/>
        <v>21072.961204835694</v>
      </c>
    </row>
    <row r="234" spans="1:12" x14ac:dyDescent="0.3">
      <c r="A234" s="23">
        <v>249.99</v>
      </c>
      <c r="B234" s="23">
        <v>249.99</v>
      </c>
      <c r="C234" s="23">
        <v>249.99</v>
      </c>
      <c r="H234">
        <f t="shared" si="14"/>
        <v>-45.165289256198207</v>
      </c>
      <c r="I234">
        <f t="shared" si="15"/>
        <v>-667.50033057851363</v>
      </c>
      <c r="J234">
        <f t="shared" si="16"/>
        <v>30147.845509186493</v>
      </c>
      <c r="L234">
        <f t="shared" si="17"/>
        <v>2039.9033535960532</v>
      </c>
    </row>
    <row r="235" spans="1:12" x14ac:dyDescent="0.3">
      <c r="A235" s="23">
        <v>59.99</v>
      </c>
      <c r="B235" s="23">
        <v>59.99</v>
      </c>
      <c r="C235" s="23">
        <v>119.98</v>
      </c>
      <c r="H235">
        <f t="shared" si="14"/>
        <v>-235.16528925619821</v>
      </c>
      <c r="I235">
        <f t="shared" si="15"/>
        <v>-797.51033057851362</v>
      </c>
      <c r="J235">
        <f t="shared" si="16"/>
        <v>187546.7475753024</v>
      </c>
      <c r="L235">
        <f t="shared" si="17"/>
        <v>55302.713270951375</v>
      </c>
    </row>
    <row r="236" spans="1:12" x14ac:dyDescent="0.3">
      <c r="A236" s="23">
        <v>149.99</v>
      </c>
      <c r="B236" s="23">
        <v>149.99</v>
      </c>
      <c r="C236" s="23">
        <v>299.98</v>
      </c>
      <c r="H236">
        <f t="shared" si="14"/>
        <v>-145.16528925619821</v>
      </c>
      <c r="I236">
        <f t="shared" si="15"/>
        <v>-617.51033057851362</v>
      </c>
      <c r="J236">
        <f t="shared" si="16"/>
        <v>89641.065757120508</v>
      </c>
      <c r="L236">
        <f t="shared" si="17"/>
        <v>21072.961204835694</v>
      </c>
    </row>
    <row r="237" spans="1:12" x14ac:dyDescent="0.3">
      <c r="A237" s="23">
        <v>899.99</v>
      </c>
      <c r="B237" s="23">
        <v>899.99</v>
      </c>
      <c r="C237" s="23">
        <v>2699.97</v>
      </c>
      <c r="H237">
        <f t="shared" si="14"/>
        <v>604.83471074380179</v>
      </c>
      <c r="I237">
        <f t="shared" si="15"/>
        <v>1782.4796694214861</v>
      </c>
      <c r="J237">
        <f t="shared" si="16"/>
        <v>1078105.575261252</v>
      </c>
      <c r="L237">
        <f t="shared" si="17"/>
        <v>365825.02732053836</v>
      </c>
    </row>
    <row r="238" spans="1:12" x14ac:dyDescent="0.3">
      <c r="A238" s="23">
        <v>899.99</v>
      </c>
      <c r="B238" s="23">
        <v>899.99</v>
      </c>
      <c r="C238" s="23">
        <v>2699.97</v>
      </c>
      <c r="H238">
        <f t="shared" si="14"/>
        <v>604.83471074380179</v>
      </c>
      <c r="I238">
        <f t="shared" si="15"/>
        <v>1782.4796694214861</v>
      </c>
      <c r="J238">
        <f t="shared" si="16"/>
        <v>1078105.575261252</v>
      </c>
      <c r="L238">
        <f t="shared" si="17"/>
        <v>365825.02732053836</v>
      </c>
    </row>
    <row r="239" spans="1:12" x14ac:dyDescent="0.3">
      <c r="A239" s="23">
        <v>299.99</v>
      </c>
      <c r="B239" s="23">
        <v>299.99</v>
      </c>
      <c r="C239" s="23">
        <v>899.97</v>
      </c>
      <c r="H239">
        <f t="shared" si="14"/>
        <v>4.8347107438017929</v>
      </c>
      <c r="I239">
        <f t="shared" si="15"/>
        <v>-17.520330578513608</v>
      </c>
      <c r="J239">
        <f t="shared" si="16"/>
        <v>-84.705730482898829</v>
      </c>
      <c r="L239">
        <f t="shared" si="17"/>
        <v>23.374427976232486</v>
      </c>
    </row>
    <row r="240" spans="1:12" x14ac:dyDescent="0.3">
      <c r="A240" s="23">
        <v>149.99</v>
      </c>
      <c r="B240" s="23">
        <v>149.99</v>
      </c>
      <c r="C240" s="23">
        <v>599.96</v>
      </c>
      <c r="H240">
        <f t="shared" si="14"/>
        <v>-145.16528925619821</v>
      </c>
      <c r="I240">
        <f t="shared" si="15"/>
        <v>-317.5303305785136</v>
      </c>
      <c r="J240">
        <f t="shared" si="16"/>
        <v>46094.382286046166</v>
      </c>
      <c r="L240">
        <f t="shared" si="17"/>
        <v>21072.961204835694</v>
      </c>
    </row>
    <row r="241" spans="1:12" x14ac:dyDescent="0.3">
      <c r="A241" s="23">
        <v>79.989999999999995</v>
      </c>
      <c r="B241" s="23">
        <v>79.989999999999995</v>
      </c>
      <c r="C241" s="23">
        <v>319.95999999999998</v>
      </c>
      <c r="H241">
        <f t="shared" si="14"/>
        <v>-215.16528925619821</v>
      </c>
      <c r="I241">
        <f t="shared" si="15"/>
        <v>-597.53033057851371</v>
      </c>
      <c r="J241">
        <f t="shared" si="16"/>
        <v>128567.78641827764</v>
      </c>
      <c r="L241">
        <f t="shared" si="17"/>
        <v>46296.101700703446</v>
      </c>
    </row>
    <row r="242" spans="1:12" x14ac:dyDescent="0.3">
      <c r="A242" s="23">
        <v>89.99</v>
      </c>
      <c r="B242" s="23">
        <v>89.99</v>
      </c>
      <c r="C242" s="23">
        <v>449.95</v>
      </c>
      <c r="H242">
        <f t="shared" si="14"/>
        <v>-205.16528925619821</v>
      </c>
      <c r="I242">
        <f t="shared" si="15"/>
        <v>-467.54033057851365</v>
      </c>
      <c r="J242">
        <f t="shared" si="16"/>
        <v>95923.047162079281</v>
      </c>
      <c r="L242">
        <f t="shared" si="17"/>
        <v>42092.795915579482</v>
      </c>
    </row>
    <row r="243" spans="1:12" x14ac:dyDescent="0.3">
      <c r="A243" s="23">
        <v>149.99</v>
      </c>
      <c r="B243" s="23">
        <v>149.99</v>
      </c>
      <c r="C243" s="23">
        <v>449.97</v>
      </c>
      <c r="H243">
        <f t="shared" si="14"/>
        <v>-145.16528925619821</v>
      </c>
      <c r="I243">
        <f t="shared" si="15"/>
        <v>-467.52033057851361</v>
      </c>
      <c r="J243">
        <f t="shared" si="16"/>
        <v>67867.72402158333</v>
      </c>
      <c r="L243">
        <f t="shared" si="17"/>
        <v>21072.961204835694</v>
      </c>
    </row>
    <row r="244" spans="1:12" x14ac:dyDescent="0.3">
      <c r="A244" s="23">
        <v>89.99</v>
      </c>
      <c r="C244" s="23">
        <v>179.98</v>
      </c>
      <c r="D244">
        <f>$N$2*A244+$O$2</f>
        <v>269.61040585568946</v>
      </c>
    </row>
    <row r="245" spans="1:12" x14ac:dyDescent="0.3">
      <c r="A245" s="23">
        <v>699.99</v>
      </c>
      <c r="C245" s="23">
        <v>1399.98</v>
      </c>
      <c r="D245">
        <f t="shared" ref="D245:D251" si="18">$N$2*A245+$O$2</f>
        <v>2195.8950883850625</v>
      </c>
    </row>
    <row r="246" spans="1:12" x14ac:dyDescent="0.3">
      <c r="A246" s="23">
        <v>899.99</v>
      </c>
      <c r="C246" s="23">
        <v>2699.97</v>
      </c>
      <c r="D246">
        <f t="shared" si="18"/>
        <v>2827.4638367553484</v>
      </c>
    </row>
    <row r="247" spans="1:12" x14ac:dyDescent="0.3">
      <c r="A247" s="23">
        <v>79.989999999999995</v>
      </c>
      <c r="C247" s="23">
        <v>239.97</v>
      </c>
      <c r="D247">
        <f t="shared" si="18"/>
        <v>238.03196843717515</v>
      </c>
    </row>
    <row r="248" spans="1:12" x14ac:dyDescent="0.3">
      <c r="A248" s="23">
        <v>89.99</v>
      </c>
      <c r="C248" s="23">
        <v>89.99</v>
      </c>
      <c r="D248">
        <f t="shared" si="18"/>
        <v>269.61040585568946</v>
      </c>
    </row>
    <row r="249" spans="1:12" x14ac:dyDescent="0.3">
      <c r="A249" s="23">
        <v>699.99</v>
      </c>
      <c r="C249" s="23">
        <v>2099.9699999999998</v>
      </c>
      <c r="D249">
        <f t="shared" si="18"/>
        <v>2195.8950883850625</v>
      </c>
    </row>
    <row r="250" spans="1:12" x14ac:dyDescent="0.3">
      <c r="A250" s="23">
        <v>89.99</v>
      </c>
      <c r="C250" s="23">
        <v>179.98</v>
      </c>
      <c r="D250">
        <f t="shared" si="18"/>
        <v>269.61040585568946</v>
      </c>
    </row>
    <row r="251" spans="1:12" x14ac:dyDescent="0.3">
      <c r="A251" s="23">
        <v>89.99</v>
      </c>
      <c r="C251" s="23">
        <v>269.97000000000003</v>
      </c>
      <c r="D251">
        <f t="shared" si="18"/>
        <v>269.61040585568946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Sheet1</vt:lpstr>
      <vt:lpstr>Dashboard</vt:lpstr>
      <vt:lpstr>Raw data</vt:lpstr>
      <vt:lpstr>analysis</vt:lpstr>
      <vt:lpstr>Final Project Dataset</vt:lpstr>
      <vt:lpstr>Q1 DATE function</vt:lpstr>
      <vt:lpstr>Q2 filter fuction </vt:lpstr>
      <vt:lpstr>Q3 Conditiona l fornamting</vt:lpstr>
      <vt:lpstr>What if </vt:lpstr>
      <vt:lpstr>liniar reggretion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chauhandhruv0510@hotmail.com</cp:lastModifiedBy>
  <dcterms:modified xsi:type="dcterms:W3CDTF">2025-11-10T14:48:07Z</dcterms:modified>
</cp:coreProperties>
</file>